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cmcri\Desktop\"/>
    </mc:Choice>
  </mc:AlternateContent>
  <xr:revisionPtr revIDLastSave="0" documentId="13_ncr:1_{03EF3511-FC7E-4847-BC9D-4F816EEDBEDA}" xr6:coauthVersionLast="47" xr6:coauthVersionMax="47" xr10:uidLastSave="{00000000-0000-0000-0000-000000000000}"/>
  <bookViews>
    <workbookView xWindow="-120" yWindow="-120" windowWidth="20730" windowHeight="11160" activeTab="4" xr2:uid="{928A7C6D-C178-4F69-8D6C-C7AE1C2AB567}"/>
  </bookViews>
  <sheets>
    <sheet name="Formulario de Registro" sheetId="3" r:id="rId1"/>
    <sheet name="Seguimiento" sheetId="7" r:id="rId2"/>
    <sheet name="Formulador" sheetId="4" r:id="rId3"/>
    <sheet name="Base Inicial" sheetId="5" r:id="rId4"/>
    <sheet name="Base Salida" sheetId="6" r:id="rId5"/>
  </sheets>
  <externalReferences>
    <externalReference r:id="rId6"/>
  </externalReferences>
  <definedNames>
    <definedName name="_xlnm._FilterDatabase" localSheetId="3" hidden="1">'Base Inicial'!$A$1:$J$62</definedName>
    <definedName name="_xlnm._FilterDatabase" localSheetId="4" hidden="1">'Base Salida'!$A$1:$G$271</definedName>
    <definedName name="_xlnm._FilterDatabase" localSheetId="0" hidden="1">'Formulario de Registro'!$A$1:$B$5</definedName>
    <definedName name="_xlchart.v1.0" hidden="1">Seguimiento!$XFC$4:$XFC$8</definedName>
    <definedName name="_xlchart.v1.1" hidden="1">Seguimiento!$XFD$4:$XFD$8</definedName>
    <definedName name="_xlchart.v6.2" hidden="1">Seguimiento!$XFC$10:$XFC$41</definedName>
    <definedName name="_xlchart.v6.3" hidden="1">Seguimiento!$XFC$9</definedName>
    <definedName name="_xlchart.v6.4" hidden="1">Seguimiento!$XFD$10:$XFD$41</definedName>
    <definedName name="_xlchart.v6.5" hidden="1">Seguimiento!$XFD$9</definedName>
    <definedName name="formulador">Formulador!$C$1:$C$21</definedName>
    <definedName name="Sujeto">Formulador!$A$1:$A$118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7" l="1"/>
  <c r="B8" i="7" s="1"/>
  <c r="XFB3" i="7"/>
  <c r="XFB8" i="7"/>
  <c r="XFB7" i="7"/>
  <c r="XFB6" i="7"/>
  <c r="XFB5" i="7"/>
  <c r="XFB9" i="7"/>
  <c r="XFB10" i="7"/>
  <c r="XFB11" i="7"/>
  <c r="XFB12" i="7"/>
  <c r="XFB13" i="7"/>
  <c r="XFB14" i="7"/>
  <c r="XFB15" i="7"/>
  <c r="XFB16" i="7"/>
  <c r="XFB17" i="7"/>
  <c r="XFB18" i="7"/>
  <c r="XFB19" i="7"/>
  <c r="XFB20" i="7"/>
  <c r="B3" i="7"/>
  <c r="XEX2" i="7"/>
  <c r="XEZ2" i="7" s="1"/>
  <c r="XEX3" i="7"/>
  <c r="XEY3" i="7" s="1"/>
  <c r="XEX4" i="7"/>
  <c r="XEZ4" i="7" s="1"/>
  <c r="XEX5" i="7"/>
  <c r="XFA5" i="7" s="1"/>
  <c r="XEX6" i="7"/>
  <c r="XEZ6" i="7" s="1"/>
  <c r="XEX7" i="7"/>
  <c r="XEY7" i="7" s="1"/>
  <c r="XEX8" i="7"/>
  <c r="XEZ8" i="7" s="1"/>
  <c r="XEX9" i="7"/>
  <c r="XFA9" i="7" s="1"/>
  <c r="XEX10" i="7"/>
  <c r="XEY10" i="7" s="1"/>
  <c r="XEX11" i="7"/>
  <c r="XEY11" i="7" s="1"/>
  <c r="XEX12" i="7"/>
  <c r="XEZ12" i="7" s="1"/>
  <c r="XEX13" i="7"/>
  <c r="XFA13" i="7" s="1"/>
  <c r="XEX14" i="7"/>
  <c r="XEZ14" i="7" s="1"/>
  <c r="XEX15" i="7"/>
  <c r="XEY15" i="7" s="1"/>
  <c r="XEX16" i="7"/>
  <c r="XEZ16" i="7" s="1"/>
  <c r="XEX17" i="7"/>
  <c r="XFA17" i="7" s="1"/>
  <c r="XEX18" i="7"/>
  <c r="XEY18" i="7" s="1"/>
  <c r="XEX19" i="7"/>
  <c r="XEY19" i="7" s="1"/>
  <c r="XEX20" i="7"/>
  <c r="XEZ20" i="7" s="1"/>
  <c r="XEX1" i="7"/>
  <c r="XEY1" i="7" s="1"/>
  <c r="B6" i="3"/>
  <c r="B3" i="3"/>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2" i="5"/>
  <c r="B4" i="7" l="1"/>
  <c r="XFB1" i="7"/>
  <c r="XFB4" i="7"/>
  <c r="XFB2" i="7"/>
  <c r="XFA20" i="7"/>
  <c r="XFA16" i="7"/>
  <c r="XFA12" i="7"/>
  <c r="XFA8" i="7"/>
  <c r="XFA19" i="7"/>
  <c r="XFA15" i="7"/>
  <c r="XFA11" i="7"/>
  <c r="XFA7" i="7"/>
  <c r="XFA18" i="7"/>
  <c r="XFA14" i="7"/>
  <c r="XFA10" i="7"/>
  <c r="XFA6" i="7"/>
  <c r="XFA1" i="7"/>
  <c r="XFA4" i="7"/>
  <c r="XFA3" i="7"/>
  <c r="XFA2" i="7"/>
  <c r="XEY17" i="7"/>
  <c r="XEY9" i="7"/>
  <c r="XEY20" i="7"/>
  <c r="XEY16" i="7"/>
  <c r="XEY12" i="7"/>
  <c r="XEY8" i="7"/>
  <c r="XEZ17" i="7"/>
  <c r="XEZ13" i="7"/>
  <c r="XEZ9" i="7"/>
  <c r="XEY13" i="7"/>
  <c r="XEZ1" i="7"/>
  <c r="XEZ5" i="7"/>
  <c r="XEY5" i="7"/>
  <c r="XEY4" i="7"/>
  <c r="XEZ18" i="7"/>
  <c r="XEZ10" i="7"/>
  <c r="XEZ19" i="7"/>
  <c r="XEZ15" i="7"/>
  <c r="XEY14" i="7"/>
  <c r="XEZ11" i="7"/>
  <c r="XEZ7" i="7"/>
  <c r="XEY6" i="7"/>
  <c r="XEZ3" i="7"/>
  <c r="XEY2" i="7"/>
  <c r="B5" i="3"/>
  <c r="B4" i="3"/>
  <c r="XFD19" i="7" l="1"/>
  <c r="XFD11" i="7"/>
  <c r="XFD15" i="7"/>
  <c r="XFD20" i="7"/>
  <c r="XFD24" i="7"/>
  <c r="XFD28" i="7"/>
  <c r="XFD32" i="7"/>
  <c r="XFD36" i="7"/>
  <c r="XFD40" i="7"/>
  <c r="XFD17" i="7"/>
  <c r="XFD22" i="7"/>
  <c r="XFD30" i="7"/>
  <c r="XFD34" i="7"/>
  <c r="XFD10" i="7"/>
  <c r="XFD23" i="7"/>
  <c r="XFD31" i="7"/>
  <c r="XFD39" i="7"/>
  <c r="XFD12" i="7"/>
  <c r="XFD16" i="7"/>
  <c r="XFD21" i="7"/>
  <c r="XFD25" i="7"/>
  <c r="XFD29" i="7"/>
  <c r="XFD33" i="7"/>
  <c r="XFD37" i="7"/>
  <c r="XFD41" i="7"/>
  <c r="XFD13" i="7"/>
  <c r="XFD26" i="7"/>
  <c r="XFD38" i="7"/>
  <c r="XFD14" i="7"/>
  <c r="XFD18" i="7"/>
  <c r="XFD27" i="7"/>
  <c r="XFD35" i="7"/>
  <c r="XFD5" i="7"/>
  <c r="XFD4" i="7"/>
  <c r="XFD6" i="7"/>
  <c r="XFD8" i="7"/>
  <c r="XFD7" i="7"/>
  <c r="XFD2" i="7"/>
  <c r="XFD1" i="7"/>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2">
    <bk>
      <extLst>
        <ext uri="{3e2802c4-a4d2-4d8b-9148-e3be6c30e623}">
          <xlrd:rvb i="0"/>
        </ext>
      </extLst>
    </bk>
    <bk>
      <extLst>
        <ext uri="{3e2802c4-a4d2-4d8b-9148-e3be6c30e623}">
          <xlrd:rvb i="12"/>
        </ext>
      </extLst>
    </bk>
    <bk>
      <extLst>
        <ext uri="{3e2802c4-a4d2-4d8b-9148-e3be6c30e623}">
          <xlrd:rvb i="22"/>
        </ext>
      </extLst>
    </bk>
    <bk>
      <extLst>
        <ext uri="{3e2802c4-a4d2-4d8b-9148-e3be6c30e623}">
          <xlrd:rvb i="32"/>
        </ext>
      </extLst>
    </bk>
    <bk>
      <extLst>
        <ext uri="{3e2802c4-a4d2-4d8b-9148-e3be6c30e623}">
          <xlrd:rvb i="42"/>
        </ext>
      </extLst>
    </bk>
    <bk>
      <extLst>
        <ext uri="{3e2802c4-a4d2-4d8b-9148-e3be6c30e623}">
          <xlrd:rvb i="52"/>
        </ext>
      </extLst>
    </bk>
    <bk>
      <extLst>
        <ext uri="{3e2802c4-a4d2-4d8b-9148-e3be6c30e623}">
          <xlrd:rvb i="62"/>
        </ext>
      </extLst>
    </bk>
    <bk>
      <extLst>
        <ext uri="{3e2802c4-a4d2-4d8b-9148-e3be6c30e623}">
          <xlrd:rvb i="72"/>
        </ext>
      </extLst>
    </bk>
    <bk>
      <extLst>
        <ext uri="{3e2802c4-a4d2-4d8b-9148-e3be6c30e623}">
          <xlrd:rvb i="82"/>
        </ext>
      </extLst>
    </bk>
    <bk>
      <extLst>
        <ext uri="{3e2802c4-a4d2-4d8b-9148-e3be6c30e623}">
          <xlrd:rvb i="93"/>
        </ext>
      </extLst>
    </bk>
    <bk>
      <extLst>
        <ext uri="{3e2802c4-a4d2-4d8b-9148-e3be6c30e623}">
          <xlrd:rvb i="103"/>
        </ext>
      </extLst>
    </bk>
    <bk>
      <extLst>
        <ext uri="{3e2802c4-a4d2-4d8b-9148-e3be6c30e623}">
          <xlrd:rvb i="113"/>
        </ext>
      </extLst>
    </bk>
    <bk>
      <extLst>
        <ext uri="{3e2802c4-a4d2-4d8b-9148-e3be6c30e623}">
          <xlrd:rvb i="123"/>
        </ext>
      </extLst>
    </bk>
    <bk>
      <extLst>
        <ext uri="{3e2802c4-a4d2-4d8b-9148-e3be6c30e623}">
          <xlrd:rvb i="133"/>
        </ext>
      </extLst>
    </bk>
    <bk>
      <extLst>
        <ext uri="{3e2802c4-a4d2-4d8b-9148-e3be6c30e623}">
          <xlrd:rvb i="143"/>
        </ext>
      </extLst>
    </bk>
    <bk>
      <extLst>
        <ext uri="{3e2802c4-a4d2-4d8b-9148-e3be6c30e623}">
          <xlrd:rvb i="153"/>
        </ext>
      </extLst>
    </bk>
    <bk>
      <extLst>
        <ext uri="{3e2802c4-a4d2-4d8b-9148-e3be6c30e623}">
          <xlrd:rvb i="163"/>
        </ext>
      </extLst>
    </bk>
    <bk>
      <extLst>
        <ext uri="{3e2802c4-a4d2-4d8b-9148-e3be6c30e623}">
          <xlrd:rvb i="173"/>
        </ext>
      </extLst>
    </bk>
    <bk>
      <extLst>
        <ext uri="{3e2802c4-a4d2-4d8b-9148-e3be6c30e623}">
          <xlrd:rvb i="184"/>
        </ext>
      </extLst>
    </bk>
    <bk>
      <extLst>
        <ext uri="{3e2802c4-a4d2-4d8b-9148-e3be6c30e623}">
          <xlrd:rvb i="194"/>
        </ext>
      </extLst>
    </bk>
    <bk>
      <extLst>
        <ext uri="{3e2802c4-a4d2-4d8b-9148-e3be6c30e623}">
          <xlrd:rvb i="203"/>
        </ext>
      </extLst>
    </bk>
    <bk>
      <extLst>
        <ext uri="{3e2802c4-a4d2-4d8b-9148-e3be6c30e623}">
          <xlrd:rvb i="213"/>
        </ext>
      </extLst>
    </bk>
    <bk>
      <extLst>
        <ext uri="{3e2802c4-a4d2-4d8b-9148-e3be6c30e623}">
          <xlrd:rvb i="223"/>
        </ext>
      </extLst>
    </bk>
    <bk>
      <extLst>
        <ext uri="{3e2802c4-a4d2-4d8b-9148-e3be6c30e623}">
          <xlrd:rvb i="234"/>
        </ext>
      </extLst>
    </bk>
    <bk>
      <extLst>
        <ext uri="{3e2802c4-a4d2-4d8b-9148-e3be6c30e623}">
          <xlrd:rvb i="244"/>
        </ext>
      </extLst>
    </bk>
    <bk>
      <extLst>
        <ext uri="{3e2802c4-a4d2-4d8b-9148-e3be6c30e623}">
          <xlrd:rvb i="254"/>
        </ext>
      </extLst>
    </bk>
    <bk>
      <extLst>
        <ext uri="{3e2802c4-a4d2-4d8b-9148-e3be6c30e623}">
          <xlrd:rvb i="264"/>
        </ext>
      </extLst>
    </bk>
    <bk>
      <extLst>
        <ext uri="{3e2802c4-a4d2-4d8b-9148-e3be6c30e623}">
          <xlrd:rvb i="274"/>
        </ext>
      </extLst>
    </bk>
    <bk>
      <extLst>
        <ext uri="{3e2802c4-a4d2-4d8b-9148-e3be6c30e623}">
          <xlrd:rvb i="284"/>
        </ext>
      </extLst>
    </bk>
    <bk>
      <extLst>
        <ext uri="{3e2802c4-a4d2-4d8b-9148-e3be6c30e623}">
          <xlrd:rvb i="294"/>
        </ext>
      </extLst>
    </bk>
    <bk>
      <extLst>
        <ext uri="{3e2802c4-a4d2-4d8b-9148-e3be6c30e623}">
          <xlrd:rvb i="304"/>
        </ext>
      </extLst>
    </bk>
    <bk>
      <extLst>
        <ext uri="{3e2802c4-a4d2-4d8b-9148-e3be6c30e623}">
          <xlrd:rvb i="314"/>
        </ext>
      </extLst>
    </bk>
  </futureMetadata>
  <valueMetadata count="3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valueMetadata>
</metadata>
</file>

<file path=xl/sharedStrings.xml><?xml version="1.0" encoding="utf-8"?>
<sst xmlns="http://schemas.openxmlformats.org/spreadsheetml/2006/main" count="1699" uniqueCount="205">
  <si>
    <t>ID</t>
  </si>
  <si>
    <t>SUJETO DE REPARACIÓN COLECTIVA</t>
  </si>
  <si>
    <t>TIPO</t>
  </si>
  <si>
    <t>CATEGORIA</t>
  </si>
  <si>
    <t>DEPARTAMENTO</t>
  </si>
  <si>
    <t>MUNICIPIO / CIUDAD</t>
  </si>
  <si>
    <t>DIRECCIÓN TERRITORIAL</t>
  </si>
  <si>
    <t>FECHA DE INSTALCIÒN DE CONSULTA PREVIA</t>
  </si>
  <si>
    <t>FECHA DE VALIDACIÒN DE CARACTERIZACIÓN DEL DAÑO</t>
  </si>
  <si>
    <t>Aprobación Comité Técnico SRC</t>
  </si>
  <si>
    <t>Socialización y Validación con Sujeto</t>
  </si>
  <si>
    <t>FECHA CIERRE FASE (Cargue en MAARIV)</t>
  </si>
  <si>
    <t>Fecha solicitud PAC (Indemnización)</t>
  </si>
  <si>
    <t>COMUNIDAD DEL CORREGIMIENTO JOSE CONCEPCION CAMPO URDIALES</t>
  </si>
  <si>
    <t>No Étnico</t>
  </si>
  <si>
    <t>COMUNIDAD CAMPESINA</t>
  </si>
  <si>
    <t>CESAR</t>
  </si>
  <si>
    <t>MANAURE BALCÓN DEL CESAR</t>
  </si>
  <si>
    <t>CESAR Y GUAJIRA</t>
  </si>
  <si>
    <t>No Aplica</t>
  </si>
  <si>
    <t>Diseño y Formulación</t>
  </si>
  <si>
    <t>COMUNIDAD DE UNION PENEYA</t>
  </si>
  <si>
    <t>CAQUETÁ</t>
  </si>
  <si>
    <t>LA MONTAÑITA</t>
  </si>
  <si>
    <t>CAQUETA Y HUILA</t>
  </si>
  <si>
    <t>COMUNIDAD DE NOROSI</t>
  </si>
  <si>
    <t>BOLÍVAR</t>
  </si>
  <si>
    <t>NOROSÍ</t>
  </si>
  <si>
    <t>MAGDALENA MEDIO</t>
  </si>
  <si>
    <t>CORREGIMIENTO DE CERRO DE BURGOS</t>
  </si>
  <si>
    <t>SIMITÍ</t>
  </si>
  <si>
    <t>COMUNIDAD DEL CORREGIMIENTO DE MICOAHUMADO</t>
  </si>
  <si>
    <t>MORALES</t>
  </si>
  <si>
    <t>CABECERA MUNICIPAL DE MORALES CAUCA</t>
  </si>
  <si>
    <t>CAUCA</t>
  </si>
  <si>
    <t>COMUNIDAD DE LA ZONA URBANA DE SILVIA</t>
  </si>
  <si>
    <t>SILVIA</t>
  </si>
  <si>
    <t>CASCO URBANO DEL MUNICIPIO DE TOTORO CAUCA</t>
  </si>
  <si>
    <t>TOTORÓ</t>
  </si>
  <si>
    <t>COMUNIDAD EL SIETE Y VEREDAS ALEDAÑAS</t>
  </si>
  <si>
    <t>CHOCÓ</t>
  </si>
  <si>
    <t>EL CARMEN DE ATRATO</t>
  </si>
  <si>
    <t>COMUNIDAD LA TROCHA (VEREDAS: EL ONCE, DOCE, VEINTE, DIEZ, QUINCE, EL LAMENTO, EL PIÑON, CARE PERRO, EL DIECIOCHO AFRO)</t>
  </si>
  <si>
    <t>CORREGIMIENTO EL ARO</t>
  </si>
  <si>
    <t>ANTIOQUIA</t>
  </si>
  <si>
    <t>ITUANGO</t>
  </si>
  <si>
    <t>MOVIMIENTO CÍVICO "RAMON EMILIO ARCILA" DEL ORIENTE ANTIOQUEÑO VÍCTIMA DEL CONFLICTO ARMADO</t>
  </si>
  <si>
    <t>Organizaciones y Grupos</t>
  </si>
  <si>
    <t>GRUPO</t>
  </si>
  <si>
    <t>MARINILLA</t>
  </si>
  <si>
    <t>EL CASTILLO</t>
  </si>
  <si>
    <t>META</t>
  </si>
  <si>
    <t>META Y LLANOS ORIENTALES</t>
  </si>
  <si>
    <t>VEREDA GUADUALITO Y VEREDA CAÑO VEINTE</t>
  </si>
  <si>
    <t>VISTAHERMOSA</t>
  </si>
  <si>
    <t>COMUNIDAD CASCO URBANO DE MITÚ</t>
  </si>
  <si>
    <t>VAUPÉS</t>
  </si>
  <si>
    <t>MITÚ</t>
  </si>
  <si>
    <t>COMUNIDAD DEL MUNICIPIO DE LEJANIAS</t>
  </si>
  <si>
    <t>LEJANIAS</t>
  </si>
  <si>
    <t>COMUNIDAD DE LA VEREDA LAS COLINAS</t>
  </si>
  <si>
    <t>SAN JOSÉ DEL GUAVIARE</t>
  </si>
  <si>
    <t>CHENGUE</t>
  </si>
  <si>
    <t>SUCRE</t>
  </si>
  <si>
    <t>OVEJAS</t>
  </si>
  <si>
    <t>COMUNIDAD DEL CORREGIMIENTO SAN RAFAEL</t>
  </si>
  <si>
    <t>COMUNIDAD DE LA PLANADA</t>
  </si>
  <si>
    <t>NARIÑO</t>
  </si>
  <si>
    <t>LOS ANDES</t>
  </si>
  <si>
    <t>COMUNIDAD EL CARRIZAL</t>
  </si>
  <si>
    <t>COMUNIDAD DE LA VEREDA SAN ISIDRO</t>
  </si>
  <si>
    <t>RICAURTE</t>
  </si>
  <si>
    <t>COMUNIDAD CORREGIMIENTO DE SAN DANIEL Y SUS 22 VEREDAS</t>
  </si>
  <si>
    <t>CALDAS</t>
  </si>
  <si>
    <t>PENSILVANIA</t>
  </si>
  <si>
    <t>EJE CAFETERO</t>
  </si>
  <si>
    <t>COMUNIDAD DEL CORREGIMIENTO LAS PIEDRAS</t>
  </si>
  <si>
    <t>MAGDALENA</t>
  </si>
  <si>
    <t>PIVIJAY</t>
  </si>
  <si>
    <t>GRUPO CHIMBORAZO</t>
  </si>
  <si>
    <t>ZONA BANANERA</t>
  </si>
  <si>
    <t>LA COMUNIDAD DEL CORREGIMIENTO DE PUEBLO NUEVO</t>
  </si>
  <si>
    <t>NORTE DE SANTANDER</t>
  </si>
  <si>
    <t>OCAÑA</t>
  </si>
  <si>
    <t>NORTE DE SANTANDER Y ARAUCA</t>
  </si>
  <si>
    <t>ASOCIACION POPULAR COOPERATIVA INTEGRAL DE OTARE LTDA APCOOPINOT LTDA</t>
  </si>
  <si>
    <t>ORGANIZACIONES</t>
  </si>
  <si>
    <t>LA COMUNIDAD DEL SECTOR MALLA DEL AEROPUERTO BARRIOS BUENOS AIRES LA HERMITA Y CAMILO DAZA</t>
  </si>
  <si>
    <t>CÚCUTA</t>
  </si>
  <si>
    <t>COMUNIDAD DE LA VEREDA VILLANUEVA CARACOL</t>
  </si>
  <si>
    <t>ARAUCA</t>
  </si>
  <si>
    <t>MOVIMIENTO DE NEGRITUDES DEL MUNICIPIO DE SAN MIGUEL</t>
  </si>
  <si>
    <t>ORGANIZACIÓN ÉTNICA</t>
  </si>
  <si>
    <t>PUTUMAYO</t>
  </si>
  <si>
    <t>SAN MIGUEL</t>
  </si>
  <si>
    <t>COMUNIDAD DE SANTA HELENA DEL OPON</t>
  </si>
  <si>
    <t>SANTANDER</t>
  </si>
  <si>
    <t>SANTA HELENA DEL OPÓN</t>
  </si>
  <si>
    <t>COMUNIDAD CORREGIMIENTO DEL PAUJIL</t>
  </si>
  <si>
    <t>MATANZA</t>
  </si>
  <si>
    <t>COMUNIDAD CORREGIMIENTO SANTA CRUZ DE LA COLINA</t>
  </si>
  <si>
    <t>FUNDACION HUMANITARIA NUEVO AMANECER</t>
  </si>
  <si>
    <t>VALLE DEL CAUCA</t>
  </si>
  <si>
    <t>CARTAGO</t>
  </si>
  <si>
    <t>VALLE</t>
  </si>
  <si>
    <t>COMUNIDAD DEL CORREGIMIENTO DE GALICIA</t>
  </si>
  <si>
    <t>BUGALAGRANDE</t>
  </si>
  <si>
    <t>COMUNIDAD DE LA VEREDA SANTA LUCIA</t>
  </si>
  <si>
    <t>FORMULADOR</t>
  </si>
  <si>
    <t>KAREN BOHORQUEZ</t>
  </si>
  <si>
    <t>YASSER MÉNDEZ</t>
  </si>
  <si>
    <t>FRANCISCO VILLA</t>
  </si>
  <si>
    <t>MARLEN RODRIGUEZ</t>
  </si>
  <si>
    <t>BLANCA LOZANO</t>
  </si>
  <si>
    <t>LAURA PEREIRA</t>
  </si>
  <si>
    <t>DANIELA GARCIA</t>
  </si>
  <si>
    <t>DIEGO FRANCO</t>
  </si>
  <si>
    <t>MARIA CAMILA JARA</t>
  </si>
  <si>
    <t>COMUNIDAD YUKPA IROKA</t>
  </si>
  <si>
    <t>Étnico</t>
  </si>
  <si>
    <t>AGUSTÍN CODAZZI</t>
  </si>
  <si>
    <t>CONSEJO COMUNITARIO LAS PALMITAS</t>
  </si>
  <si>
    <t>LA JAGUA DE IBIRICO</t>
  </si>
  <si>
    <t>CONSEJO COMUNITARIO DE COMUNIDADES NEGRAS DEL CORREGIMIENTO DE ASNAZU EN REPRESENTACION DE LA COMUNIDAD NEGRA DEL CORREGIMIENTO DE ASNAZU</t>
  </si>
  <si>
    <t>SUÁREZ</t>
  </si>
  <si>
    <t>COMUNIDAD CONSEJO COMUNITARIO RIO GUENGUE BARRANCO EN REPRESENTACION DE LA COMUNIDAD AFROCOLOMBIANA RIO GUENGUE BARRANCO</t>
  </si>
  <si>
    <t>CORINTO</t>
  </si>
  <si>
    <t>RESGUARDO DE AGUA NEGRA</t>
  </si>
  <si>
    <t>PUEBLO KISGO</t>
  </si>
  <si>
    <t>CONSEJO COMUNITARIO DE LA CUENCA DEL RÍO CURVARADÓ</t>
  </si>
  <si>
    <t>PUEBLO KANKUAMO</t>
  </si>
  <si>
    <t>RESGUARDO BUENAVISTA - PUEBLO SIONA</t>
  </si>
  <si>
    <t>CONSEJO COMUNITARIO DE COMUNIDADES NEGRAS DE BERRUGUITA</t>
  </si>
  <si>
    <t>CONSEJO COMUNITARIO ELADIO ARIZA</t>
  </si>
  <si>
    <t>CONSEJO COMUNITARIO DE COMUNIDADES NEGRAS DE RINCON GUAPO</t>
  </si>
  <si>
    <t>CAÑAMOMO Y LOMA PRIETA</t>
  </si>
  <si>
    <t>RESGUARDO INDIGENA CATALAURA</t>
  </si>
  <si>
    <t>CONSEJO COMUNITARIO RIO TABLON DULCE</t>
  </si>
  <si>
    <t>CONSEJO COMUNITARIO TABLON SALADO</t>
  </si>
  <si>
    <t>RESGUARDO ESCOPETERA Y PIRZA</t>
  </si>
  <si>
    <t>CABILDO QUEBRADA CAÑAVERAL</t>
  </si>
  <si>
    <t>RESGUARDO SAN MIGUEL DE LA CASTELLANA</t>
  </si>
  <si>
    <t>RESGUARDO ARGELIA</t>
  </si>
  <si>
    <t>CABILDO INDIGENA INGA DE SAN ANDRES</t>
  </si>
  <si>
    <t>RESGUARDO INDIGENA DE MAYASQUER DEL PUEBLO DE LOS PASTOS</t>
  </si>
  <si>
    <t>COMUNIDAD LA PELONA</t>
  </si>
  <si>
    <t>CONSEJO COMUNITARIO AFRODESCENDIENTE REBELION</t>
  </si>
  <si>
    <t>RISARALDA</t>
  </si>
  <si>
    <t>CÓRDOBA</t>
  </si>
  <si>
    <t>PUEBLO RICO</t>
  </si>
  <si>
    <t>CARMEN DEL DARIÉN</t>
  </si>
  <si>
    <t>VALLEDUPAR</t>
  </si>
  <si>
    <t>PUERTO ASÍS</t>
  </si>
  <si>
    <t>EL CARMEN DE BOLÍVAR</t>
  </si>
  <si>
    <t>SAN JACINTO</t>
  </si>
  <si>
    <t>PUEBLOVIEJO</t>
  </si>
  <si>
    <t>RIOSUCIO</t>
  </si>
  <si>
    <t>TIBÚ</t>
  </si>
  <si>
    <t>SAN ANDRÉS DE TUMACO</t>
  </si>
  <si>
    <t>PUERTO LIBERTADOR</t>
  </si>
  <si>
    <t>VILLAGARZÓN</t>
  </si>
  <si>
    <t>VALLE DEL GUAMUEZ</t>
  </si>
  <si>
    <t>SANTIAGO</t>
  </si>
  <si>
    <t>CUMBAL</t>
  </si>
  <si>
    <t>SAN ONOFRE</t>
  </si>
  <si>
    <t>URABA</t>
  </si>
  <si>
    <t>BOLIVAR</t>
  </si>
  <si>
    <t xml:space="preserve">                                                                                                                                                                                                                                 </t>
  </si>
  <si>
    <t>La Base de Marcelina</t>
  </si>
  <si>
    <t>ACTIVIDAD</t>
  </si>
  <si>
    <t>FECHA ESTIMADA</t>
  </si>
  <si>
    <t>Se tiene que cambiar</t>
  </si>
  <si>
    <t>No cambiar</t>
  </si>
  <si>
    <t>Titulos</t>
  </si>
  <si>
    <t>AVANCE</t>
  </si>
  <si>
    <t>AVANCE(%)</t>
  </si>
  <si>
    <t>CONCLUIDO</t>
  </si>
  <si>
    <t>RESGUARDO GUANGUI</t>
  </si>
  <si>
    <t>NATALIA GARCIA</t>
  </si>
  <si>
    <t>RESGUARDO INDIGENA DE HUELLAS</t>
  </si>
  <si>
    <t>LORENA TRUJILLO</t>
  </si>
  <si>
    <t>CONSEJO COMUNITARIO EL NEGRO DE MINGUEO</t>
  </si>
  <si>
    <t>ANGELICA PINILLA</t>
  </si>
  <si>
    <t>RESGUARDO GITO DOKABU</t>
  </si>
  <si>
    <t xml:space="preserve"> 13/ 12/2023</t>
  </si>
  <si>
    <t>LUCY GONZALEZ</t>
  </si>
  <si>
    <t>ANAIS PALACIOS</t>
  </si>
  <si>
    <t>DANIELA ROJAS</t>
  </si>
  <si>
    <t>YENNY BELTRAN</t>
  </si>
  <si>
    <t>OLGA MATIAS</t>
  </si>
  <si>
    <t>URIBIA NARVAEZ</t>
  </si>
  <si>
    <t>NATALIA VARGAS</t>
  </si>
  <si>
    <t>PAOLA BLANCO</t>
  </si>
  <si>
    <t xml:space="preserve">RESGUARDO GITO DOKABU                                                  </t>
  </si>
  <si>
    <t>EL 88 RESGUARDO GITO DOKABU ME SALE N/D</t>
  </si>
  <si>
    <t>Aprobación en CTJT / Protocolización</t>
  </si>
  <si>
    <t>FECHA</t>
  </si>
  <si>
    <t>TOTAL PROYECTOS</t>
  </si>
  <si>
    <t>AVANCE PROMEDIO FORMULADOR</t>
  </si>
  <si>
    <t>Comunidad Campesina</t>
  </si>
  <si>
    <t>Grupo</t>
  </si>
  <si>
    <t>Organizaciones</t>
  </si>
  <si>
    <t>Organización Étnica</t>
  </si>
  <si>
    <t>Diseño Y Formulación</t>
  </si>
  <si>
    <t>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</si>
</sst>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rgb="FF9C6500"/>
      <name val="Calibri"/>
      <family val="2"/>
      <scheme val="minor"/>
    </font>
    <font>
      <b/>
      <sz val="10"/>
      <name val="Calibri"/>
      <family val="2"/>
      <scheme val="minor"/>
    </font>
    <font>
      <sz val="10"/>
      <color theme="1"/>
      <name val="Calibri"/>
      <family val="2"/>
      <scheme val="minor"/>
    </font>
    <font>
      <sz val="10"/>
      <name val="Calibri"/>
      <family val="2"/>
      <scheme val="minor"/>
    </font>
    <font>
      <sz val="11"/>
      <color theme="1"/>
      <name val="Nunito"/>
    </font>
    <font>
      <b/>
      <sz val="11"/>
      <color theme="1"/>
      <name val="Nunito"/>
    </font>
    <font>
      <b/>
      <sz val="10"/>
      <name val="Nunito"/>
    </font>
    <font>
      <sz val="11"/>
      <color rgb="FF000000"/>
      <name val="Nunito"/>
    </font>
    <font>
      <sz val="11"/>
      <color theme="1"/>
      <name val="Calibri"/>
      <family val="2"/>
      <scheme val="minor"/>
    </font>
    <font>
      <b/>
      <sz val="11"/>
      <name val="Calibri"/>
      <family val="2"/>
      <scheme val="minor"/>
    </font>
    <font>
      <sz val="11"/>
      <color theme="1"/>
      <name val="Playbill"/>
      <family val="5"/>
    </font>
    <font>
      <sz val="11"/>
      <color theme="4"/>
      <name val="Playbill"/>
      <family val="5"/>
    </font>
    <font>
      <sz val="10"/>
      <color theme="4"/>
      <name val="Playbill"/>
      <family val="5"/>
    </font>
  </fonts>
  <fills count="11">
    <fill>
      <patternFill patternType="none"/>
    </fill>
    <fill>
      <patternFill patternType="gray125"/>
    </fill>
    <fill>
      <patternFill patternType="solid">
        <fgColor rgb="FFFFEB9C"/>
      </patternFill>
    </fill>
    <fill>
      <patternFill patternType="solid">
        <fgColor theme="8" tint="0.79998168889431442"/>
        <bgColor indexed="64"/>
      </patternFill>
    </fill>
    <fill>
      <patternFill patternType="solid">
        <fgColor theme="8" tint="0.79998168889431442"/>
        <bgColor theme="7" tint="0.79998168889431442"/>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rgb="FFFFFF00"/>
        <bgColor indexed="64"/>
      </patternFill>
    </fill>
    <fill>
      <patternFill patternType="solid">
        <fgColor rgb="FFFF474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9" fontId="9" fillId="0" borderId="0" applyFont="0" applyFill="0" applyBorder="0" applyAlignment="0" applyProtection="0"/>
  </cellStyleXfs>
  <cellXfs count="51">
    <xf numFmtId="0" fontId="0" fillId="0" borderId="0" xfId="0"/>
    <xf numFmtId="0" fontId="4"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3" borderId="1" xfId="0" applyFont="1" applyFill="1" applyBorder="1" applyAlignment="1">
      <alignment horizontal="left" vertical="center"/>
    </xf>
    <xf numFmtId="0" fontId="3" fillId="3" borderId="1" xfId="0" applyFont="1" applyFill="1" applyBorder="1" applyAlignment="1">
      <alignment horizontal="left"/>
    </xf>
    <xf numFmtId="0" fontId="3" fillId="3" borderId="1" xfId="0" applyFont="1" applyFill="1" applyBorder="1"/>
    <xf numFmtId="0" fontId="3" fillId="3" borderId="1" xfId="0" applyFont="1" applyFill="1" applyBorder="1" applyAlignment="1">
      <alignment horizontal="left" vertical="center"/>
    </xf>
    <xf numFmtId="0" fontId="4" fillId="3" borderId="1" xfId="0" applyFont="1" applyFill="1" applyBorder="1" applyAlignment="1">
      <alignment vertical="center"/>
    </xf>
    <xf numFmtId="0" fontId="3" fillId="3" borderId="1" xfId="0" applyFont="1" applyFill="1" applyBorder="1" applyAlignment="1">
      <alignment vertical="center"/>
    </xf>
    <xf numFmtId="0" fontId="3" fillId="4" borderId="1" xfId="0" applyFont="1" applyFill="1" applyBorder="1" applyAlignment="1">
      <alignment vertical="center"/>
    </xf>
    <xf numFmtId="0" fontId="4" fillId="4" borderId="1" xfId="0" applyFont="1" applyFill="1" applyBorder="1" applyAlignment="1">
      <alignment vertical="center"/>
    </xf>
    <xf numFmtId="0" fontId="3" fillId="3" borderId="0" xfId="0" applyFont="1" applyFill="1" applyAlignment="1">
      <alignment horizontal="center"/>
    </xf>
    <xf numFmtId="0" fontId="2" fillId="3" borderId="1" xfId="0" applyFont="1" applyFill="1" applyBorder="1" applyAlignment="1">
      <alignment horizontal="left" vertical="center" wrapText="1"/>
    </xf>
    <xf numFmtId="14" fontId="2" fillId="3" borderId="1" xfId="0" applyNumberFormat="1" applyFont="1" applyFill="1" applyBorder="1" applyAlignment="1">
      <alignment horizontal="center" vertical="center" wrapText="1"/>
    </xf>
    <xf numFmtId="14" fontId="4" fillId="3" borderId="1" xfId="0" applyNumberFormat="1" applyFont="1" applyFill="1" applyBorder="1" applyAlignment="1">
      <alignment horizontal="center" vertical="center"/>
    </xf>
    <xf numFmtId="14" fontId="4" fillId="3" borderId="1" xfId="0" applyNumberFormat="1" applyFont="1" applyFill="1" applyBorder="1" applyAlignment="1">
      <alignment horizontal="center"/>
    </xf>
    <xf numFmtId="14" fontId="3" fillId="3" borderId="1" xfId="0" applyNumberFormat="1" applyFont="1" applyFill="1" applyBorder="1" applyAlignment="1">
      <alignment horizontal="center"/>
    </xf>
    <xf numFmtId="0" fontId="3" fillId="4" borderId="1" xfId="0" applyFont="1" applyFill="1" applyBorder="1" applyAlignment="1">
      <alignment horizontal="left" vertical="center"/>
    </xf>
    <xf numFmtId="14" fontId="3" fillId="4" borderId="1" xfId="0" applyNumberFormat="1" applyFont="1" applyFill="1" applyBorder="1" applyAlignment="1">
      <alignment horizontal="center" vertical="center"/>
    </xf>
    <xf numFmtId="14" fontId="3" fillId="3" borderId="1" xfId="0" applyNumberFormat="1" applyFont="1" applyFill="1" applyBorder="1" applyAlignment="1">
      <alignment horizontal="center" vertical="center"/>
    </xf>
    <xf numFmtId="14" fontId="0" fillId="0" borderId="0" xfId="0" applyNumberFormat="1"/>
    <xf numFmtId="4" fontId="0" fillId="0" borderId="0" xfId="0" applyNumberFormat="1"/>
    <xf numFmtId="0" fontId="5" fillId="0" borderId="0" xfId="0" applyFont="1"/>
    <xf numFmtId="0" fontId="6" fillId="7" borderId="1" xfId="0" applyFont="1" applyFill="1" applyBorder="1"/>
    <xf numFmtId="0" fontId="7" fillId="3" borderId="1" xfId="0" applyFont="1" applyFill="1" applyBorder="1" applyAlignment="1">
      <alignment horizontal="center" vertical="center"/>
    </xf>
    <xf numFmtId="0" fontId="5" fillId="7" borderId="1" xfId="0" applyFont="1" applyFill="1" applyBorder="1"/>
    <xf numFmtId="0" fontId="6" fillId="8" borderId="1" xfId="0" applyFont="1" applyFill="1" applyBorder="1"/>
    <xf numFmtId="0" fontId="6" fillId="6" borderId="1" xfId="0" applyFont="1" applyFill="1" applyBorder="1"/>
    <xf numFmtId="0" fontId="6" fillId="5" borderId="1" xfId="0" applyFont="1" applyFill="1" applyBorder="1"/>
    <xf numFmtId="0" fontId="6" fillId="6" borderId="1" xfId="0" applyFont="1" applyFill="1" applyBorder="1" applyAlignment="1">
      <alignment horizontal="left"/>
    </xf>
    <xf numFmtId="0" fontId="5" fillId="6" borderId="1" xfId="0" applyFont="1" applyFill="1" applyBorder="1"/>
    <xf numFmtId="14" fontId="5" fillId="7" borderId="1" xfId="0" applyNumberFormat="1" applyFont="1" applyFill="1" applyBorder="1"/>
    <xf numFmtId="14" fontId="5" fillId="7" borderId="1" xfId="0" applyNumberFormat="1" applyFont="1" applyFill="1" applyBorder="1" applyAlignment="1">
      <alignment horizontal="center" vertical="center"/>
    </xf>
    <xf numFmtId="9" fontId="0" fillId="0" borderId="0" xfId="2" applyFont="1"/>
    <xf numFmtId="0" fontId="2" fillId="3" borderId="1" xfId="0" applyFont="1" applyFill="1" applyBorder="1" applyAlignment="1">
      <alignment horizontal="center" vertical="center" wrapText="1"/>
    </xf>
    <xf numFmtId="0" fontId="2" fillId="3" borderId="3" xfId="0" applyFont="1" applyFill="1" applyBorder="1" applyAlignment="1">
      <alignment horizontal="center" vertical="center" wrapText="1"/>
    </xf>
    <xf numFmtId="19" fontId="0" fillId="0" borderId="0" xfId="0" applyNumberFormat="1"/>
    <xf numFmtId="0" fontId="4" fillId="9" borderId="1" xfId="0" applyFont="1" applyFill="1" applyBorder="1" applyAlignment="1">
      <alignment horizontal="left" vertical="center"/>
    </xf>
    <xf numFmtId="14" fontId="5" fillId="7" borderId="1" xfId="0" applyNumberFormat="1" applyFont="1" applyFill="1" applyBorder="1" applyAlignment="1">
      <alignment horizontal="right"/>
    </xf>
    <xf numFmtId="0" fontId="10" fillId="10" borderId="0" xfId="0" applyFont="1" applyFill="1"/>
    <xf numFmtId="9" fontId="0" fillId="0" borderId="0" xfId="0" applyNumberFormat="1"/>
    <xf numFmtId="0" fontId="11" fillId="0" borderId="0" xfId="0" applyFont="1"/>
    <xf numFmtId="9" fontId="5" fillId="0" borderId="0" xfId="2" applyFont="1"/>
    <xf numFmtId="0" fontId="12" fillId="0" borderId="0" xfId="0" applyFont="1"/>
    <xf numFmtId="0" fontId="13" fillId="0" borderId="0" xfId="0" applyFont="1"/>
    <xf numFmtId="0" fontId="5" fillId="0" borderId="2" xfId="0" applyFont="1" applyBorder="1" applyAlignment="1">
      <alignment horizontal="center"/>
    </xf>
    <xf numFmtId="0" fontId="5" fillId="7" borderId="4" xfId="0" applyFont="1" applyFill="1" applyBorder="1" applyAlignment="1">
      <alignment horizontal="center"/>
    </xf>
    <xf numFmtId="0" fontId="5" fillId="7" borderId="5" xfId="0" applyFont="1" applyFill="1" applyBorder="1" applyAlignment="1">
      <alignment horizontal="center"/>
    </xf>
    <xf numFmtId="0" fontId="6" fillId="6" borderId="4" xfId="0" applyFont="1" applyFill="1" applyBorder="1" applyAlignment="1">
      <alignment horizontal="center"/>
    </xf>
    <xf numFmtId="0" fontId="6" fillId="6" borderId="5" xfId="0" applyFont="1" applyFill="1" applyBorder="1" applyAlignment="1">
      <alignment horizontal="center"/>
    </xf>
    <xf numFmtId="9" fontId="6" fillId="6" borderId="4" xfId="0" applyNumberFormat="1" applyFont="1" applyFill="1" applyBorder="1" applyAlignment="1">
      <alignment horizontal="center"/>
    </xf>
  </cellXfs>
  <cellStyles count="3">
    <cellStyle name="Neutral 2" xfId="1" xr:uid="{057A007A-7C7B-4DB1-B606-685B86B32296}"/>
    <cellStyle name="Normal" xfId="0" builtinId="0"/>
    <cellStyle name="Porcentaje" xfId="2" builtinId="5"/>
  </cellStyles>
  <dxfs count="9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4747"/>
      <color rgb="FFE4F6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eetMetadata" Target="metadata.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Array" Target="richData/rdarray.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2-7EF2-4905-B7F2-3A6132B4730E}"/>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7EF2-4905-B7F2-3A6132B4730E}"/>
              </c:ext>
            </c:extLst>
          </c:dPt>
          <c:dLbls>
            <c:dLbl>
              <c:idx val="0"/>
              <c:layout>
                <c:manualLayout>
                  <c:x val="0.19379844961240303"/>
                  <c:y val="5.405405405405405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EF2-4905-B7F2-3A6132B4730E}"/>
                </c:ext>
              </c:extLst>
            </c:dLbl>
            <c:dLbl>
              <c:idx val="1"/>
              <c:layout>
                <c:manualLayout>
                  <c:x val="-0.24031007751937986"/>
                  <c:y val="-3.60360360360361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EF2-4905-B7F2-3A6132B4730E}"/>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Nunito" pitchFamily="2" charset="0"/>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Seguimiento!$XFC$1:$XFC$2</c:f>
              <c:strCache>
                <c:ptCount val="2"/>
                <c:pt idx="0">
                  <c:v>Étnico</c:v>
                </c:pt>
                <c:pt idx="1">
                  <c:v>No Étnico</c:v>
                </c:pt>
              </c:strCache>
            </c:strRef>
          </c:cat>
          <c:val>
            <c:numRef>
              <c:f>Seguimiento!$XFD$1:$XFD$2</c:f>
              <c:numCache>
                <c:formatCode>0%</c:formatCode>
                <c:ptCount val="2"/>
                <c:pt idx="0">
                  <c:v>1</c:v>
                </c:pt>
                <c:pt idx="1">
                  <c:v>0</c:v>
                </c:pt>
              </c:numCache>
            </c:numRef>
          </c:val>
          <c:extLst>
            <c:ext xmlns:c16="http://schemas.microsoft.com/office/drawing/2014/chart" uri="{C3380CC4-5D6E-409C-BE32-E72D297353CC}">
              <c16:uniqueId val="{00000001-7EF2-4905-B7F2-3A6132B4730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Nunito" pitchFamily="2" charset="0"/>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6329EEB2-301A-4074-91D9-544A6C0C593C}">
          <cx:dataLabels pos="inEnd">
            <cx:txPr>
              <a:bodyPr vertOverflow="overflow" horzOverflow="overflow" wrap="square" lIns="0" tIns="0" rIns="0" bIns="0"/>
              <a:lstStyle/>
              <a:p>
                <a:pPr algn="ctr" rtl="0">
                  <a:defRPr sz="900" b="0" i="0">
                    <a:solidFill>
                      <a:srgbClr val="FFFFFF"/>
                    </a:solidFill>
                    <a:latin typeface="Nunito" pitchFamily="2" charset="0"/>
                    <a:ea typeface="Nunito" pitchFamily="2" charset="0"/>
                    <a:cs typeface="Nunito" pitchFamily="2" charset="0"/>
                  </a:defRPr>
                </a:pPr>
                <a:endParaRPr lang="en-GB">
                  <a:latin typeface="Nunito" pitchFamily="2" charset="0"/>
                </a:endParaRPr>
              </a:p>
            </cx:txPr>
            <cx:visibility seriesName="0" categoryName="1" value="1"/>
            <cx:separator>, </cx:separator>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olorStr">
        <cx:f>_xlchart.v6.4</cx:f>
        <cx:nf>_xlchart.v6.5</cx:nf>
      </cx:strDim>
      <cx:strDim type="entityId">
        <cx:lvl ptCount="32">
          <cx:pt idx="0">10106915</cx:pt>
          <cx:pt idx="1">10106933</cx:pt>
          <cx:pt idx="2">10106929</cx:pt>
          <cx:pt idx="3">9422286</cx:pt>
          <cx:pt idx="4">9421486</cx:pt>
          <cx:pt idx="5">10106930</cx:pt>
          <cx:pt idx="6">5575</cx:pt>
          <cx:pt idx="7">10106918</cx:pt>
          <cx:pt idx="8">10106928</cx:pt>
          <cx:pt idx="9">9419845</cx:pt>
          <cx:pt idx="10">10106947</cx:pt>
          <cx:pt idx="11">10106932</cx:pt>
          <cx:pt idx="12">9418692</cx:pt>
          <cx:pt idx="13">10106925</cx:pt>
          <cx:pt idx="14">10106921</cx:pt>
          <cx:pt idx="15">10106919</cx:pt>
          <cx:pt idx="16">10106920</cx:pt>
          <cx:pt idx="17">10106951</cx:pt>
          <cx:pt idx="18">9408415</cx:pt>
          <cx:pt idx="19">10106924</cx:pt>
          <cx:pt idx="20">9406730</cx:pt>
          <cx:pt idx="21">9406503</cx:pt>
          <cx:pt idx="22">10106916</cx:pt>
          <cx:pt idx="23">10106922</cx:pt>
          <cx:pt idx="24">27859</cx:pt>
          <cx:pt idx="25">10106952</cx:pt>
          <cx:pt idx="26">10106936</cx:pt>
          <cx:pt idx="27">10106941</cx:pt>
          <cx:pt idx="28">33584</cx:pt>
          <cx:pt idx="29">34749</cx:pt>
          <cx:pt idx="30">10106917</cx:pt>
          <cx:pt idx="31">10106927</cx:pt>
        </cx:lvl>
      </cx:strDim>
      <cx:strDim type="cat">
        <cx:f>_xlchart.v6.2</cx:f>
        <cx:nf>_xlchart.v6.3</cx:nf>
      </cx:strDim>
    </cx:data>
  </cx:chartData>
  <cx:chart>
    <cx:title pos="t" align="ctr" overlay="0">
      <cx:tx>
        <cx:txData>
          <cx:v>Promedio de avance</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Calibri" panose="020F0502020204030204"/>
            </a:rPr>
            <a:t>Promedio de avance</a:t>
          </a:r>
        </a:p>
      </cx:txPr>
    </cx:title>
    <cx:plotArea>
      <cx:plotAreaRegion>
        <cx:series layoutId="regionMap" uniqueId="{BAB1ACC5-3C77-4B18-9C4C-9F85CB6CB2C4}">
          <cx:dataLabels>
            <cx:txPr>
              <a:bodyPr spcFirstLastPara="1" vertOverflow="ellipsis" horzOverflow="overflow" wrap="square" lIns="0" tIns="0" rIns="0" bIns="0" anchor="ctr" anchorCtr="1"/>
              <a:lstStyle/>
              <a:p>
                <a:pPr algn="ctr" rtl="0">
                  <a:defRPr sz="1050"/>
                </a:pPr>
                <a:endParaRPr lang="es-ES" sz="105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geography cultureLanguage="es-ES" cultureRegion="ES" attribution="Con tecnología de Bing">
              <cx:geoCache provider="{E9337A44-BEBE-4D9F-B70C-5C5E7DAFC167}">
                <cx:binary>lJpZl+SolqX/Sq58bmWCBiTuqlsPSDb57B4eHsOLloeHByAQIEAD+vV9vCr7Vt3q7lrdj2YaTGI4
e3/72L+8bX970++v/rdt1Cb87W37++8iRve3P/8Mb+J9fA1/jPLN22B/xT/e7Pin/fVLvr3/+dO/
rtLwP3OEyz/fxKuP79vv//ovcDf+brvX+HowUcb0OL/79PQeZh3Df3v0/3Lwt/d/u81zcu9///31
5yhNJ0P08i3+/tehy8+//44RRoSW+Pff/vzP9/nrjLvXES7+NL/59//zRe+vIf7996wu/6iKAtOq
pBVBVUno77+t7/9+qPqjxrgmFKMSoYIi8vtvxvooPn77D1w2ZUNplaOmLlH++2/Bzh+Hmj/ymnxc
UNc5omWd1/8YoQerE7fmH2Py1+ffzDw+WGli+Pvv5OP33b+f9/GSVVWTAuE8b0pakqbEpITjb69P
MA1wOv4f01aHUJOFduO6WGamNLZDU4iT3iI61HuJT25YZYvs5M6C8tBu+Xpv9oJe5OyLtt7Hbz4P
Y4unuWyLIhu6we2uSzZyhnqUWKbxr7iLiU0r1u2S1stiSHGgWT4e+DQtncwy3GVun17RviNmtjHv
Sp9l7aDW+xSGot1FLw7wJvQYtv3Lshvc2my438vRt73u9VkROt4N/ZwxWpb+6HCWHtWwDF0R7Xpq
LH1Yt1x1kyiGTkQ/sN0F7li5ZDNDNf2O8umkkDnDqNz4nWRw+2q9qer1blgqy3DWD22Tk8vcFKa1
Fd1bZTZ9QRmtrmhfU5ZlqmT1uFs2w4AzucwbXGUTqwf6ko8RMYFIvB0G/DJyY88pjaKrvZCHUrue
7XozP6vc1cyLPDu4fTtPuX0d+3HrOK/uXW1GVuacHxYRctYPnrRLT0I3o+yrW8P9QgZ4d+Xrbi70
1PaNXI9u2FbGRUOvxtoVbe4tZlrALI0k8rs4zFk3uYw/1QvfPqUy8I5sZm+DLBWLsUwrSxEbZqpy
vc7HYTgZRedW9/7zTGnJylo0TKZdnecVxlJQ7d41LQhD1G6t5otoy4qM3YLRXYE8Pdlq3tphX2/n
XvXtatDncrWvyur+YKvh1xj3nBV7ubFVbYc+h6WWLTVnWaokW/f1V7/YnpU+vYpR36+rfjZFs5/z
jDRdShk/ZtbztlcmdZRG/SZt8UngKjJtFT5swaK232TDlDO0tUvzUKhUnua40a5qyr3NVbXf6Nj8
KmXxFvcatX7ZHYtJLyxHs2GrS64djFOsWnZ5mnyVznVGlq6oy+VqcJ52eB7GTszVzEhd7ucmNqab
+0Z0+WLvqjw2bJjkCxeW3OqJfKmKJVwylw3M040wUg1vBeVfeAzzQay6aedg06Gv6qLduHbHtanD
taK1vV48uoX6Ic40NZ9hWq4WRMpuG7aNcc89k6g6EVuIO1fG+myGomwbzcsO5Vl5lbngGE+cHitk
9WXvpWGR24otm3uaFrSzqsBFx12juzKUX2Kk4jCK4s4WG0zKkCYmlkG0RCDVCVPqy9zXz8NIyUF4
ndqGfLxRuTWnXk1PTao/qRG2QumU6DaSriLdr/I1M4dxcp4Nqz46lzBr8uaURyGOS1O6lpJ96Ige
B7aU+qmiArM6TrRLY3rN9hofXL2/4RoJFur+GduyaSkSipEgvzk1Nm10MOPDQAQr5ny+6uN83Q9r
Oq5jztk+yvKHiWPd5eWWTgS7KJja1Ccb1T3fmovQk2NkNjnbU/kidw1bKZO6zUhhTgVyN3uPRFei
/d6KaFoZ+HBKWSwfTbVk7T4O6FBmS34KRUMPWZ+F53lsONPJ9Jdly91xjLa6zLuU5z1b84/1glpE
060Szc72Pk8dlLeHRmrdjo77937rSQtL3B8RXddWkTWwRkkY6MmbszaiuVRW+C54dyhq6Rgqzfwp
d80l7+tHsg23047sW0gVbKeg1p6tNn5fOb4naH1JuI5XCCnS7VlxYzaxs7zQuPVpvJ0Snju3Gt2W
i3q022pPY5LuIDhF7UIqft5LDaVg8Psx1oofpoysx4VsS5svc90VskFsnrKhpTV/pMbULVSxldEQ
CzY2EV/Wot6ZVsPMwjaV6s7kOZLHOcjAal9xtvTpsOwVgmGe1pWpOtirkRd7uzRzuFJVMZyJqNLR
qjidTF2sLV8QvyH9Ml1SvbvTihp+0HZ0V/lCyLEATT6GphlOdK9nVpVFcdJZr1u8Z+Gkx8a1sxvp
ZWtKdK6KFJ+EQgE0zX+rUp5di3yKHar92lI/u07X1WuV8dARRRzbVkSuLKkIU+Pmj/DY6VTZRt44
n5uWpiAOvJS6W3LZHwTqBVsxX8/WLf0rSDE/EGvyS+7Q9mvgZHpBScEa6HOKOSuaPr/Z7bRVjGO+
37g6xFMlxwtayF1KVX0b9sIfcdLZAYr39bL7kVFdejbhbWCw3utD2aDyEPpM/IJNzG+U8oHxgB/k
6N4nXNGOBmlfamVBs3q/HzK77B3eyrHDmPiTIz052VCGzuUlaM42+2M99AXs4Z0wJ6BCyG0tO97s
8Wprqvl6d9Keydz7A5rFerRp+KGLWByX5E4u9Z932AAdqsLeDqR8X4L+khXWs9pOcL9q/l6p/EIx
GZnxtmrDBEpHhmjbNY/zocy3vNMCfdI0C6BJNe5wQZ6FGD9RBG+W+1Ec8tVO7VSHuZMDTqxfV3Wv
V/3F1WUJWj2kg5vo7UCXFbQHE9bI6XPTqPesmO7WGNQd6fUj3suezf1mWLUb2+4ZMswR8zAvbutC
Fmu29ZgfNrPMhyohkDnZ9CwSl9qB57fS4JvkEmGVKjAU6aQ6P+ui897/1Fs/t3OaX6RaBlYJJY+I
z4lJm2zH8bLdZbBt2LTQ+5DPTyVZp27C9pcaTOjWFL9Hu79psZoWdo9hpc5yNleePi1StVYqzMLi
F1YF0FRX5+TQ5Ha4ZDNUMDXW6hRd/Cz29a7XdmVLs/THpPh0guERrdLgCGFU9BEZeHpDxNauC04X
Mebfw2a/CA3PnGLzKOYkzzTGH/2a/VDe74zPuW29atR5VZNqaVNebB+nQyNFc2WzwlwZeNnPmspv
cijEt37IjhjN/AC+mZ9qUbzpzKAOZm48Ebr7tpnr7wWp61PpnWinMYf3CYFemmkGE8VJf0TNqpjd
N8HqDLRh86E+cqd9lwV5X6uZPGyRc1bvprm4OopWz2Awnc5hePP1xQr7dW/K5VKPS9kui7Nfvef6
gLItZ2h1khVZUKBwSzrPsyxO9SSWVvQDqAzJ73iU8lTnLrR+tNPaaV/DZS77icE+H7Z+Cd9qossv
zboMT5vjXyslEHP7LJ5INZlfG9H4vbIrFLl9HobvPaqxYBhlD/O62+vaLqUDQ5SLQx0a1HkQ0Ss/
F49rvnoWcwPnLlSxrBEfLooeOaqa+9Xqpe3XJm+J9M9ZURw8rm4HMh7bNic7VOWxP6xj8b0M+wvf
VxjTXoJcb2De7cjBaWbpo/gt+JDJfOjQGi49Mfaa5OLSREouvacgj+P4oGXzkvn4BRn0JDc/tjKl
gcFDiDYNDrx9NoprWcPyDGUG0l+On2vwCezfGOzPf+fAf6KcN+uSl1z8BYL/+Pivt/+LL//l47L/
+P4DJv/j0717N5+if3+Pt6/uv575TxcCVP31+x8c+k8f/jco/c+4+P968J+Y9M3OJn4gLpfW/Ge8
rP5bGm0tSNgP+fpfr/gLRQn5AygvRxUCW9TAZgPU+wtFG/xHU1U0JxUUxxo3dfUfKFr90TRVDY4e
QKj6uOwfKJqVf+Q5LSglDUYUF6gh/z8sCmRb/FcYrQC4m4o2eVHkcM/6n2G0VosMUA1UV0xiusdB
zMbtABS8oFlic1ZHc3BqnetPwS1reebK2eoOq2yLrObLPXbTr31fLkW9/BrixrPHraIc6DVtRepE
IPJXs/ETHQRn2OtPtMD35QpDcwxE6+2pBJElbdH3yFwUNyZXzMg818cdI1exLHCVDqaIcXk2YuB7
l2s0bS9js+oAKDrgLX9dGmt1O+MGRELC8+1thlcB5akRarguhQLeAzHg/smLhYfLtucfbsssffFj
sWh2v5Zg5HKqCglMuQpVb8eYLWlmNV2cPgDl1uZpccNetsYM8QkpNIVWRzrp1opxrY6oyOrARl2P
4cAtUg74aQAziumMNBM7IXVrp9mWTClIJ7rBT8S2pRq27KpfuaAtPBrRF1GaegSv73p36DW3fTtv
k7BM8Xr2sh0XgzzIXqbkeEhuz10Xoo78atDrMNwNkaYdKqpCkr+hMNLvtfFmYMNCPIWkYcweq6ni
ktnNNhnLlAmvrq80fDNbQ6GiCrQI5jNdN9+5GNYSSvSy9t891CeD2BbAuoNLNP3wtUxY6ltAMsEv
sSyV7cxid9eWoZDjWZdAzZ2gUHO6vtns/sWTYsCHRGZqO2JihjWj2WR3wygK+5PuLQgQzSPan+cV
Td8kT9kAMlpgNXYZGtZ4zErj8o8FQIE8qljDkOqgmgdQ76Vv3WB89pJNsH0S2ydM6UUliX5lSsH7
Tc061Ce6eko7W8Uhu5r0osvDGDHOznZEckAswynImzkiJbsNyWq8gTXaL22BLR4hAxjoaanpTs5z
Ns7+gisFvD8Oac1YyiSuOrLoIYYz7nklLpPIG9l6QO7itTCrFZ3M6xQP+TYr+7RJvMtDEQWvbkrh
vLrABi2aLg7OWYiFll2RyBaOi6qrADAFHId60S5qoQLsbQjoOGkv8UHOVK4/VAJL/71AGvWtLLKq
uDTwbuI4NmjcwQ2UeoFFSREXn2kzmP2w83qpD32xiy+0XzV+naTX9LWPYVieIWTw24++FhwdZwjy
nkJYc9+mlVLZGo5wc1nDvlbXVWUBOFJGrawA3KZtZwFVazyQQu/6UTVCi4uJpq8esn3L5E0fJJwz
kZ4OJ0QmQ/Mug9F3zM3joLqmMbWDDCDHiXR572d7QPtG0WWY59G6yMLckHCWfZ/WmzgvvXpSPKSi
0xpV5GoO/bQewY4NZZfbbRq+cJHSdVDgrNqxXPQLdymHcKI3w9oWpp7lJQCJaYaaxqdrVUiPX4uP
K7sij2q5CI83zwrIl96bBjbwjRhGo7vd6bH3bI0NsGAzpx7WWE7B250EHlJ5QMVSVMfFwjN/y1Xy
rh0lZIlXqN4adJlqEfW3bRsc7pZxGuU1r3Cvr0rFbWDWODcdJPDp9GNGxcafx+iBkJatbMLU7eto
Vs30hmf/NO7OhbfaN80zGnLt2t0Qfs3xhou2Glz1pdfLjFvuypFfgiEhdXjSdGer9utymAnK6kMA
loda61z2TYmSGoZ8JB9uv98YGuvhtKhqegJ61Kb1ez/Etiq5hZwnIjC5nCz59SgyvR6gbnnZYRXU
9Wy4CMy5pbku8tzc9HEDx1ehYjzoWuOfoizTj2rzSLKFuOWmjGLz3ZCF9ZMveX5IS789BFo0MxOr
szxncR16YKCyJ1m3z6robyctQt1lpYvpgFWu+gNREOW86qVsTAtB77Z3viwDlP/cBnWu0U7VeV9K
yF+Zz1FaTwB8Ax8gsEhUMt/3RTo0We2WK7JKbc59X5HvkF/k/GasIHDjZ1h3fvoVJ5mlzwEWQRzb
WAXg9mGHyCbGz03etzynDxyJpzjg642SqUVmvapTX7Dd5s/b1DxNdbm2NQSrrMZ5BF+2yuNWZXWr
wgi5VHDojMpMnrkl01U/LhFQjmMG4vs1muohuOZkQnwcbD4BtMCiydC+dGsPRMhh67HBxNusxDdq
lBOrU7FeGm7ua4tfvBKfKpwaBsz6vsrtcdrD0u0VZDQLCe98y145IfdDAco0prUVqYhXOISKxTJv
btDqyy9FbgqmDF6uvFZnswhx3RQ7OlVTAbKim/HIJ3Cba5hEW2Tq0+rodTOUC8NR5czDAj9UQAVf
UcXntoE5cdwAVqu+vtIQA5xwbvljhC3Ku4/4r2Lzasb7FUP+dcR9LE9IuJ+8Gk0rMgAPDbvjsCjy
KjPFbwCI7aGGLQx3phCXzSPoGNrLhjUu3ichBAi1uUtb2pgHbXiyUpJjo6s7KPbxFazN1yxhAklW
cbWO6jmTQh9WmOsTbFjB+kq8UjvhezFu8dRbSIWoLEfma0uPqPL5exw2db/L9VedNnGkKA3trOsr
cOJP+T7SW8hpHpccWElZU5zUDHGYt66H/My9QnRaPiWxiheQmPEqisp1dlPV1xQzdW12W52qhRbn
CPLYSmx+JA/MXbv5Zs+mugt4NN1e4L4NMePA70j9CAu61VrfNHi8izuUTTPZ4bj0boJ0qyIHCDRf
BdAnIwa4Mt89bVMxXtd8Hw6g5t1USNtGqu15K9Mxn+UDDN16U8KasmsEkzi59xF2AqQq7uxNc45e
v/g9/2HFdB6mcmV50Ley2q9qaNl0VIWbfRJDq3I/XGJljoM2D0Bll5nXb2UMl4CWo4BYltF+O67b
dhS5OOUQMLwOmfLnVfCfqgZvAH2L6rRugKpDol8XumWwpvGpXnfS8sKetmU4NTVvxYzyVq3NCgJs
n6Ah9Kni+XW/u5vAeyCu3iuWmnC9DRzgFGpoPvDsEElVtFEs6thnCp2zrIAtvDgCkF2O5IQNmo6O
cvpc7tJ+smIIX1CZL594EdE7NaL/JJOZh3YrPLksg/0wwH2KV9QZrD7PLoJL+miwjHZo0ofPEde0
2MqbPoFFXfw8v37kHJ9r2agnOEU/QLYdO+MqcQsNlYIJvbkjWPDm3dVIngswWWeTqLubx51/XWKf
7lRSse2xIb9I2aiHaObYkTRN9g68qCrhZTEGm+yX2MZ9Dl8p770+G2x2dLstDkCS6x7CCJ7vNrTr
kHZ/1L6n88WAj/7hzVLgtmh4ITtIoAHaoVewfKqSgBjRLbFOF9iGS+yWWRMJ61aa4aog81Z9t1rW
8WaImAxQJUr7TaaMgMJqJOvTZLXBZTclbjjE0tZnpA2Y8obVDeaPUgeYaTvxESRXqWaDnsgmA1Dy
jB5nNPtbU3v0kqSPoASuvEJpMompyTczvETcSTfXoYec2WG5MKmBiz6iXx9OEFjFpfV+zsS55HrS
xwiWlJ438DU5a+Ye/7AZ+TI02HzkYPWH+YOUL3frvaxB/koJqXH+yY/Ddt/zHqJigrd3vRp3HkIM
UBUV6O/qsuPIR9JWELEwq6Czt/YQ/lXQrLqCcvCsIQZ62jY/PRieimuwwhWUYTRc/IIudkZfDSao
26ZctnIImtmyeIm++g6dLXKf1/bTaBv8XeTOX4GzBXGO3nZVNa1nnGXvdNrI/Y6XV7vXP9YlbIdx
VelqkFK0giBzX8UxXo9uGU8BNuwt2NgAYipkS1e9fnYpgUvdrTyCvxh/7VSnI5RwyBJHKY6wKvUH
R8z40e1DdY7lLA4DNBefgCfQYaWL7iTQExjHselKCo0DkCewdAA9KLsKHAwlQwV0KqstZBeyFbAU
pyGczAQpdslLaOMMjk11vdzkde/b0TdYsRJZ8UwNstfV7Pqu2HEDhZeMtw3pJ1Cd9ecU6XpIzTac
pOm3CzXQsLBFfIG6IODFmqP+EIt+m+/GsvpZT7QtC3qu+goaqBpDmiufeFG841R+g4bDpxmvMO/S
QsQOoTPrF/ot9qVh0kkNIj/Tg56qkpkx/5YXFah8RjG00uwVqaHKrGLZW0OAsPeenDNJ7jZX3Pks
voDzS2wMovMb/zy4cO7DotgcyW1G1Ouch6+lAdMwIHzfl/kNhS8jXi4GNacVQ5bY42TPqur3447y
TqFmB8xaRYvGcT8mYu+2pJ4hMP2ZUMBsX90t+K5bn1C8rSVYgKJXBSOq/EVtJlmzkhU0Et3m0IpV
NYXugdqLw1L4icWmuK54cXIiTGyV1cX36DlyeZoJPAcpZyBOyCZPPutL6CjZN4H3CWBC2q4HEWlr
AoTIJVTAgUho4KpKM8xx1ULwV0C8uX0vNtL5OoFOwn8YWuT8Z8nJ5xjCwGyCzlC083Mfx9Os6MIK
FN3JbPVyiYLODLoE8eJW/Rj3rfMq6laBNhyw76FLm0PJyIY7uhjoNCe6Qd9xoIdgMt66Mb0Mw3yD
os8PE826MWYIxikfGODRs4/TIyIBnazliKXV5IcKTW+QagS2NsXjzrcWb+i5HOgDsOBVLsJ9WdFW
mGHrViP5o/OFOw6rieccsJUNeWbbKkwNQ1irh6k0ZRuCVy0Z8nllepzrGz0EAneSsuWIpBsrIZnX
lYGYZhbQYtXyZhkb+EqgvZ0zdLdX9X2ZwqXYDDxN48u2Sg7kGTXX1FbHEkEXVifoYXig5TYHQOv1
CN0vXL9UE7WtKaBJ3xD6ZOv1ZuH6NqkRMyCK81Dwl6pMEM7mgpldfYfQ4DZU6YtewuekpvUg9sx2
A8o1LP3mDDXPnRsv4X8Nc6+Bbbe1DWbPWryCR01QXtgGY8Gmsuf1xzY1ty5BZKB0/7zYTR/caD7j
zN1A74k+ltj2lzTDLSedQ++phJB55tTeIJS5C7i46TRhaIRAC2x+Aa9acDb5YQQb2PiLDwuExHgq
K+jPoK04VvuiHIQ4I/yVYqCu5+2++v7HlBxAn4qYHyuXFgko6vrXOKttPjTc7dUZFRVoYmXUgg5U
TNAAXhSWRyr75Skb+vy63AMGAwP/iJghq3qWDWwiyHd/ZTBpp4SW7cCLMt2PpOyPc7YECjlTGhXU
jnI+8lLHM8TO4VyROP7SOKuuImmmS0QTEBfB80nkM+y/XO7po4tMZAMXAaaxGdC0dQtMc7av4kRR
s5Rs1h9/CdlRP8IfJ3Y6FNdqVOG2zLP56wjtJXsaoNUgWA6RP4auD8UnSSW9huhmpbcaa34xelWw
o6jq/cWMfWzJXoR7FHJ0v+c9fRCCJPkEf34I20XHvbjZZSk0DLDxV9vo89PEN3Q3YPAzp2yV3LAC
Wti4U5BzQU4AjWgCOHcNBmI7eBm3X6KvzQGgCp/VbvHaxWLPu6aKGZQDiPezbHissj3dSDw+T0W+
X7u84i96XEnXl4O85x6FT9jzR7sv10k2n3Mf/MXmYFYT8eXRyP5ZDPsR5hs4mhSvaVjzIzRRJWTw
fGFbgz+P4/DY8+lujoVsizk8lDMe2FY1l23I78ptPCpbHGyNphMJ1U89uCsMZLD47Pu4QQc1bv5q
FxodBmK/gCG4d9jYQ9PI1GLIyzryP0n7ruW4lWzZL0IEqgoFVL3CtGXTU6T0ghBlUPDefv1NaM49
uxvsQ8TWxDxNcIdWl1smV+ZCWmcOLVMQF+oB9A9qIu6hUxow5SWoQ11qtfoGqenc1UKGb0Zfqy68
iZFCOkAZc3Qb2p055iczlgfN4p5WAdZHK2ncVAnwxNSX+YPBVQNor4tdEug6oqQMPJH7vacJVA2R
MfV2U1nsEFMS3knUBXc8o9FM1ily8DCyEE7PwK8z0K4Hapc3binb5KZXHLVuquu3mm5E4HF0JzRB
gCCoIsO2pNyOlbY1k/ymNdROTN0TiyMvCIqHivoZUGUttgcj2amyj50m1I7Ur19Y0RhoB8ex55uW
9EytgRM0jHBfmCxF6uzve7Mw7MHU7mUzvdZ9KUGf8J8jhvhr0OZNq7S7KG4auwDG4tQGUN9Mp9so
zHokec1tm1mIbH46lxR3AGbf8w732fJvLZU+RAP1COXbYBwfk97gdpoVnZ1a8OttrO1JS981jR4B
FIPKYGrfiRTfSEinfRRGuVtpqITz+N4frZvRHE9NoO8nJV6HfvTaIHmpE7oDXOpWtN4batpmUx+A
4pJ5kah2U43WoO8T6lhWfxoN9RtMnEM6DackKh9qzh/gdh4sLXgJrPI358khBwIQMCQgcTrelTTO
ttGEumS0qt9dLBonDscvdOpdvP2TBZCzLppf+QyAddlrJdQDKy1QsTJtbyQtQE/tLmDJzyLvPG1A
qyqsN7wvd6iMkbbgeMG2c6MctKKBKqfmwY0eYY+GDCVk400D21Mg+EaU3/fUeEpCXtkGrxsb+OV9
n2m3jAW3QrC9MQyJbaps3xSlixD8vVbTY+yj1huRvGGr8/1Yhjeh5Me8sl5DJr6FDSozWRYlwMEK
CN0QOGhM6LtAWuYd+m6g3iRjbvu+xuzaj+m28fV90GmGEysE3YJYxZe6AQBP8rqyiwoJZFm8YFfv
RNQd2ql1GjHsolw/yg5ZVukPh8hMNiDDHGNReoYBNAWZZOhOZaycYdRTG97gNdUl2ABZEWxkYLR2
DmwWeKPd8/x7HfZbJJovgWDbKcrfk7G6BUh2EyTtj3BsOC5q8hxHlVdNhlcNxV1UsbsyCRWC4eAC
MnRjLQKNovwWmdFDEvlOMgGPSZvvVs819PXQazSoAlZA6y3rp9BOUVklXXkHGs+rVYTPeVyF9pCV
wU7l1a+8C2Jvxt+R4hC3SMO9yBI0CQf5PtT+exPzTRmoZ1bL75pOyiOeQWDH+rDXVH+Kg+SVFfno
MOABG8kB9OZ+/FTLcIv97b/4kVmfFEISOgZAf2PUDrbKOpw6PJ2cag1N31L3is68HwuTeoEv7hDd
bhpLmOAyDL+Yit6k4ZceYCN920XNtw4g99Y0lHDg4uqN0Yj7DCSAKQLjaTDu/aTWnCJIa/BpBu4V
0ngMQdqEf44OfJheSO2DVjaCOsYn4WaivUsEz1HKpce6HB7jvACfINrwrsvscWLJpidDITbhmMvj
1EzkWxuG/mmkQHJtf9JHDi4dzkHXJ3LSclptkEexQz6mzBHDFNxGKoqdDO2zH0bXEadDtfwmAo3v
x4Ig+2f+ZNyAvmQ9oW0zPRr5OJ1Y0tZzXww32/BF+6SFLdkDzhpuUlOvfqDpkDVOXxZoO0vd7zZ+
qw9fmyQNdiXq/6OcBvK1qozqO9CV964EZ5BaM/bSKXBbDI5wrkId/zf1HX8M76uEhraqtWfRgUaV
ISznFk8ci4Ve0LftSfSltUNFescLsNDqdqTOpBMUDSnHsYS9SzQwWOrICu2A8hfi63AGpgReLvE2
AHqAqkfNByM2DoRVT2gF4m5aYtyYWczuQ8YaG/Ao+tBlmbhjrKMtXZqDHSdZaaelFdsAZh+1vBB2
npSunMTrmJoVeFbxNzOy3nMkyk6rYu6woit31Pdf0QpxE5HXKYqg4d0MrbdRCe2N1/kW/SRQXkAD
BP3z0SfkvSrZT2UNM7VNA2kQgAEIVa/jMOhOYY7KjcD5tAsfOTfhk77nczU6aCjUqxDHN3Rsn7TT
s6U0E5Bh89bE2o0V0Lu6I7dNCcIYbqK5C9BARU+EgI2E6A4+aZrYWliH4MzwDcmKoyXDHdiz8Pjl
9AYI4y61qu+Jrj+FvJxs0ubvkznqt6TqdsQwnnzcLDQ+AeAPDB1BZu6ZTg/DWBq2Ap3yJfX1aseB
V3it0VA35EXoxl03bi0DPx+Qyb0xgn0zgu1gSx7zb3o1Yw2ZZWxKmvJfeRlmN4K1xG6HvtwnAVVP
rOjDJ3BRuwOnGgAw0Q93ovETgL6FQX+ZuMggXYnoLgBk6Nt1ZYIYlJcyA0asoqeupMEtabX8WMsa
hV8N1iO8plEmv9JKwS30mq+/ywrETlFKtAFxW0GPLPt7M1EcSHZLPZamwRcw/thNI5Tak4nhzpvp
UJANorB5ywHO7jUrN+6nBsxLkRMOXlJOUEjUaCjHdqeaGWjHz6NsKt06NJFJKTF4CRUtSsawaR/Q
exuA1U9lUzy0iiEMZgOADzvRR7IfwgpoZ4lSKh1k9LuSIaI5y9hNyepsjnjZDety68Dyke6k1NLf
tGfBEdSc8sEn0uS2CmOQzRKSGcVp7ISGY1LiORbBsI+nrNxLpvoD8UvuxY3UX7TAYo1r5D15Y3Gr
O0lRmTMGld02NNe2Pun6nc/yekuMqjrmBC2zOsisxh5lyly/KMxNao3RvTYWIbgdvKEN2MJN+5Ky
nH0x5+KrFgU2tGOoGrKpAZKg8fC26wtjb7Qgc/XCDI8mmtTwhGhK2Snrio2YkP+CfhfteU8a01Yl
OChdLhDZQyuuHbPwk72vBZqjUZH2jh70xrEcFfud8iCn9pg0LHWMRsYeaQIk5RNPZP5IknrU7QAP
yC4n5GSAfV4I2jbC6YI+/EY6XX1Bazb2wIAxC9coFaChuJ9+BkIz3SRm/BvTqsAtdaCaSdgPr1FS
5shII/0UpUONpFYIZCoGv6OR1d9X4LNOblLkkenpgMA2YzsEXlzzCq5P8MexutMEABNwkyg4nGiO
ihFMntjqD7Spgx0Zml3mJxNCQQbgzm5A+XZB0GtBji1Lnm78Jo6UpwVd9ov4jPz0a9kfWtZOX3U/
oSAzZX79zQck8WVsUg09iI4Now0mszgVCQO9Nimn6BvJ4uFbpvScgyMYN/xojiDWbYxUVkNq1xHe
Mn4Aqge76826A2yUIiMfi6pHNsQqgjhhdQx8ooHx8mfSBd1kZzSspmNgKTiECv2vEtyxAWlUoyYL
dYqCs9oroC7jBq9RvQgU7Lk7GgkDpSJDsPHa3K+1LQlGaW6slnYBCBQ9Uqe+aeJt0rYj8woGzreb
SKCAds0zI/XCKmO6HcseuWg1oslngzaZo66WvRXs6joQHdpn1H/XIxkWbkrAPXV4lyOb4gjs4F71
bWKHPNCU4xcJqJwNDZg4TFZtPejtXAl2KHrkjE/vLNADQBso66RBbGjJiAJ8QBpOk8SiDyljUxYD
28jIzzzT0KsUWgZna5ptO2yCtAWiygMDZS3+CBYHM6sZkvLBxUWGwGLDIwZitFtnrWF6kS6y9KgQ
dQUaTjwtT2YXiPCUD0CEv3MeJ/zU5+0wnOqYZ1/rqO0HrIAm6JIQ/LTRDkoORhhIG2k5NEiORl/+
otnIf/umX9T2BMSwPmIB6YNQnZY6NYAjJ6rAhnA0kU/AT8AbaW1WN6LYcr3JOrf2gzgH0RJ40r6V
evPL0CiaHTrSFh38zOnF70GE4KJAQ1UaE5xGE4c/0sFoC69oZCuBJmQMvJBUyvGRNEik9bxJ22MS
hkhWcwDfTqisdgCf3gcVRzc1oW+6jtX7Ui/SCuw//EZZa6V+ws1sKzeQIdCCJpBp5yZg8aBkTGYC
nzaWWuyCK9ieOBrZ5c1IQWrZTSCxgD0eRzQF160ETg1acduD8VII5D1xHiLfDqsoHE5aXU7WUw4q
feCBTV3dme1kaa4ZNBF3SAhux70VQcfkoZxD+OJBQJstNsJCy8wqA9TAkTYgsUdP/SayEvALtKKb
9iQFVPiE5nfYnWgbdEhtJo2Cx2P6uJnoxIHY0fNMgKA06KhaEoAGhd2FSou93pDwycREyuCRLkOC
3FkaGdC8L1PpZVGt/VAFREg3Bdg6AENIB4Qp98vo5zBZICc1EAs4gkegx5e5eOi0PDFcUHfMDpyb
WDGHqALIZBxK9JlS3ZdguIz98ASuUB2gDBujFzENVDyMQZ+8R3yqp31vKVU+p2BCkE1jgp0b6XVQ
KDtC+uZ/SUw6pCei6hC8EvwrAzpoqkW0HnxWIyHqsvSrpc3JkKGpINpYYDwSW2/w19dOa6LEAdVT
WQCvZzGMlSj1pSMC6JWWR7V/b2Z0+tmDFjq5KfWjGnscTm/1aAXRjS+6nti8raSGZkPZ6ycWVd2P
UqFA8wH+WY6WZkA50PkvfulxqVEHuW9jOaPFx87O4c5y5MssRMmcYwHWtqBR1oN8W8a9rdTUIcGR
dZVsA2qJV9lrozw0fRObXmJ0meakwqLRfKItsqYpCAs8q9HMbMEoryHeMX0Lv9eoI6cuBlMBnDZL
YqMxB9IMNXU/8kB2SQHABiIBUEcqzbrvgXz7N75s4GgMZN6BF6Yq5K4y2+6h0rGfNnpX8j0odO1k
Btr0NFYAbbB/aIc4+WDRwGFNKjXQjCsgrqontx0zu2HLRl9A7CUtB7QuZNh6NOSpMwqGeDUE+cQP
hcal7jVgy0a36Izp9xFPMkiY8swYUSxnQHzqsETBHYBiipeZ1GTw9N6UwdeKNehda0kS2ngt8AIj
rtij3hGQi5LJ7AzPQGCbmz2KDhsD78J/UggoCuCM0Vo7nxpo587au9iOGePAVwM5ji56Ur7a8xgs
9CNYsggl5eSD2trJCP8N+t6R4VSynIgTAshJHyhYDTcWYsZBpmNcb/WuKb6j99gzsOYZK2xC0MvY
8CAi4UuShn7sZkajN9gHH3nxWCUD/ImYgP23QxN+ZVwLjSPK8uwhaSUg8lKzKrSmpgaKnradlUWo
ldE7GWg1+jbCzqRvRKU3ym0yVidbjbTGC6Vw7Wi6ZAgoSYe3BwbuGI9I5nV/wA1KxYgyCe/UbuI8
BvkkNVGsDp1Azg6VHKmcvuiMWxBGLH8r8DrA7SX1VB8g5OmlR4CGjOioq7rYG+CeA2JqBws0lMnM
URr1Cox5HfsOLChtdXBRBDPEsVFhQA4qB0rnGDQtQki2StAGXoq+iurdkPrQeVl5TcYD6FhDjHwW
hHugYoWhgQgDoVQKOdrUqWT8D/H3gvd7rmakoKkuxIxEFzpaWEToprBmuuy5mDEDT7/qfZBXuk1+
CxzK6Z3eC6XT3vJd6LWdF5ziPd1QO/KyE2RZ8VcAgS50Vl69O9OB/g8F+fynzLLJS1kl6KuccWaY
HI1TDgHn+S8ZoZ8bjDyONunwVavecW1W1gpx6JkBYTBTSArmrS4hBeVELgzUKmCRApnbhbpJ/VIk
AA+qCePSlkWSPZQdCajz+ZLI5ZqWJilZmBwznmhA3KhbetPG2vRbduyOjY2ujkNO+VPgtitrvDzO
jwZnuvCZNjWCxCXBi6duA/AvKQY7I3tfPK8s65J0/B8rHOxmkxFDYk8Xlwa0xX7MaR154sR/gAm8
BYfKzn5PzugmHiR+7uf2Zg7zPzfjo7lZkHu2KBWp3ucFoW5a/I6AEiKYHMMmdwu9vpHt18+N/TmT
S2uSCIhedQ6NL8jd85meWWujLA4niNZcFEZO91xv423ptq5vmxtIm+5XrF2Kiee1SbgkXEyTYTuN
mUZ+bg2QqJlws4q8xu295hmYd/t7cOl3tlObJHJmbajt3/WQojjZQx1u6uPnP+DjhbmwLxYXJguQ
8kHYylx9BPM5emuItq2mlXfwwYilcwtqX0IMC0wVsiCpRwKt4hDCPC/v35sidmroIds8XrHyYSv/
WDF1wzJAQwQf/nIrpyhrRRGUzDW24S4+xNvpEO3iTbmyYx/e9MLM4n4gx7BYqhdwI9oh1n7XerTy
hj96jYWFxZ3Q0ENJxggLqT2yAQXQC2Ovq7bhVjuJt+FWgOh83wyHf3kRFkZn73l27acehXGhsCxC
q+SW6gAMNfB63TiIxePnpq7u4Ow2QOWGTIIuvKKohgQ1QsjAQgG8WrJDHfrF32wiRBF4YcSknPLF
MUWMhg2Q3QQPi/9AOlTdQ0OGaEYestQFyX4jIdxcMXrtnp/bXBycBNRaqEgAASHfYhl5jB2CSnif
796162EirQV1hxnU0pl+eVKInLnZF238x2X0t9zY+S6k8U5hC7t+riAV3ZWvKzZnj37hFC39wubC
4/dVOKBPp2IP6D70U17ixtt2o23T1qu2ayukV17yhbXFBaENqbOyBUQmvk0bpMlP/qHYM+RwL2gj
Zfv01nRCD3rNn8kX/wdzYgekwYf6pnymN5lnbkCF2X++/isHaxqYbiFMC2IfnS8eBwSAE9NB9nR9
HbwtBa1EeLLWYsGH/AR7bOgGwo6FRq6xvLFZYHahHCFwzK2jmbdeUaBYVj/LelxZzYd4ujC0uKaG
gFi6JXrsUfpsFW++fIyaJ1X+bhPl/s2+/bOkxb6hXaqmEfJNtymzaUNC1e0sOoKWqqvh1+emrj6L
/yiuLIQZa6mEAnZazsDmHLejZ38LwPQOxJAEj8K3Kwc8xK/i3wccU1CdWpzP+eSfQSFnLpMwIwTD
BKszrFR/tASa56wsDRCD0PoCu8LfZIExujEBfN/zalpL9q5dmDP71sIRQOmfdSiUDLefxBPJoreJ
FPsqah9NplYcwLUrA88GFSn8js7Y/PezpQqopWtQBCDKqBponzFeIuGQh0vHNwM78NcS52vv7dyc
uDSXVn6epRXMKfkDrBSbjyjdoWz6/MpctcKgpWSGNC2ks5dWhlqV2ggZrVuD2d4EL6WEX+mGlTdw
JdqZ4szKYut0owJ524KVcErvoMy+V8R6+e8WstiuCMASMRLF3AFlL4YyQFtqlRy8O4YK4L8zNbvu
s4vQhlyHzA6rsYb7CuMKGunxlq88rJWDEYuLPULPI81x3rLiHkIjW2vLA/L1p79ZCpJFbhgGE/r8
K86W0sVpgG5FZoBv36IP32VfyxLtgDRI/mrP/jG0uGcgL7SlmcGQirr7JLXerKj7bsh6xa1fv2j/
mFlcNAxoKadxgnAqV4bTZOiOpun28y1jc+Rd5gEC19mCKlZAwLqw4ac+2pBalCL3ENvGTR+nDfWm
o+kU4PvZ7Rem7NJRLvcGR9jMAe4SO4NT7vMb4kBPeKic/L69B10kWvllV93/+S9bvIEeujGFLo50
6QO4s2735O9TR72y7eBFu/wu2VrPn+/Fn6rls71YPIUc5DAiG+zFeOgBStoQlKOE24cH0xVPhtt4
6tHP7elEj2plsVffB0THBKgNog9dZGN5lyGmTJZ0dSD1eohxDtAcgaPvraxwzc58G85eCJoQQKtK
aw6pZQLc3M6eDUce50Ra3MR7/45MHt2tHSWdn/eHjT1b3qKQawoIkopJSDfZs9zWbJCcMLaqPaVb
TIx6sEZcLFLamVMfm1vrkLvhZm2Drz6ls18w//1s4QqNx9qC5tLtwmC4LWORbwol/kd1/3+Cb9e3
F5fWghLcoHzxmJhmRKrEnCpvrEGZ1QGi6BoUo3LF/fy5Dh/38x87i6cxVa0RRhNW0zudWzxbb2BG
b9HJvzF+YHaKaz6leyhlboHPOsILf689FHp9N/+xv3goIPNrVjuBEmlsBVRUjrR1JwcgFuzAFfyK
qWf8tn3Tn/rN6HIHpKZT8cu6J5q9lq+t/A5zEVYK0YYB5I/MjYf3MI2cyA9WtppcPVKo34HeWwAa
jfnvZxdHSAbWq9Kli9FQroWqDPOrXN/tnM4LMfUChOYNhtm4ZMX1zzflwwlLilpXxzUyl7mvQJ8O
lI4A06rqXxBjd/FNqz0q+ZRLa2WFV/fwzNLiLukj6NQjg6UmejGQXafjz8+dztUdxNgEzN3DmATd
WFyWMRiSSEKs5aZTtCVyZxrTpmbxyjI+onyogSRSdwaoDxMBxeKgUtWRkoc4KPlU7OVm2kmHbcN7
Hzh34Por+cy145EgVKGAlCjbP/jroDFNnubIntmwp1wkNq3zu9LKXS3S9n0rbv/9Hs7TJTCfEM5F
iMUe8kLJqCthL9XHTSDVUWGmHwTD3udmrm8iBiBizphBTfzv8raDM6floM1jwsIJA33s4i49SYdv
iWe+am60sonkWrkjAetxw0IJouuLVWHCVqOlKaIRhqxB8OqWhxLqULfZsVO4z773NxAiNC8Iio+f
L/PalT+zSxZugxSdVYGgIN2iQQuqytyAt5vPTVzNJYABY2EASAE6LyK68kOBYTqI6LPfSH7GyJMe
xhOGF9oQmN7Lh3lLjdhZx9bn97r0HBKIrAnwmXO6fG6lhsrlTz4PVYrNxI8oGh2D/M74LU1BaMr+
Zi8FlNsUEz6BfS/cRxfkMVUBbqYP6hYBszf1H1a28poDkWcmFtdESy0MC/ORBnehiVsJakBWFugr
1vdmYx2znB4jPXyUgflIen0H6eEtOOOJ3eTqhJGBT2PZZCvO5uoF+t9fZOmLC2ROuYSOBYtmIYhQ
MVrn+0AE+dodmtOij0f5//fW0hd3qKJq0CaQX1x2Zx6GPdrfLrrQNzhWh71k27VoSq5fnX/sLV5/
U1ZhHyUzJrDFJIX6AKGmN+2zp+iJ3YI+c1d2dvaIFtuLf7uGfKzt6CJDxNjHHIEWZxzGsTuBlBVB
/rxyj+bt+ridwmQCE3sgB1hEiCyemlSNsAFmoit+p96w83fRY3u37to+XllK5qakidYFBuboi0Qw
Afm0KVIILfPiXgRgGwnIlox/HRQoABzBTI4wBIxxsWcJjUueqA4Cbg5uMtoWI+gsaIZDJr7Wab2S
Bl3ams/vLA3S09jyw7iVyDihxO4908mlF3rKVXBkNnHEtIndFMNpdyuH9jHSUmpwBvYCZ2ipLSG5
VrRdkxTShx+d3rJn0xmMHaTgh7n+ZCD33EkcJz32x7XotGJ4icX1mIra8ajnbloVr0ImszA+gEgG
QvMWoqBuTFfu55U7w01IDy0TZzknMpdbnLVMoqtW+e4oQSpJHqC3wei+xvl8Q68s68LK4iCBU9Np
HPHGa9U4FT+q9DnWNkXf2CaGN3xu60o6QS+MLV4cpmUFFgZIGTg8VH4biFW2/j455nvq6u9rVSb5
+L4vrS1QmYD64Iinf6x1bnCEHGbHHsAttulOe/58ZVd3kZvIkggGsaBpc3lWPW+TKi5gakpz22zu
a+02rPimj1AdNPFKHPjoG7GuM2OLEGtSMHbHovddDKrC7L3bnLx/vhoyX61Lz3hpYRFhOwJKXJrk
6DrtZ62K2z5GbrqNnWBvbQW1483aWa0sadnxQkieqJZ2qRfHPyVm94V3n69o7d9fRE7WD7wBx8bA
sBmwryZMVsU0oM9NXCmCLzbtD7J25hIHaySZT3tQc5WDqa971trTBtwJG8xkCIo34hmTcjpHbqvd
uNFdVDzag7kJUZN3Xz//KWQ+n0/Ob9koH6XVgjqh5ncW3oKjv6329MsM6lie/la7xIGG+wF8dE+7
X6NyXIHpUN9Qw5xLE/hovnBbjSqKGqNMNVDabMwidSgG1jip43eACWOocp3YNaBAWUOUr50wZuQh
KUKiq4PXcfkCoZit9amkmmuot5H8IsVaRnLFHWN6NPyhbqLfDKrDpYERgqGyLLIIIfw35mZx9qzI
28q5XXl3FzbopY0YHMhBQWzm0YfkGV2LLZ6dA3Hrds5K1qvWK0UJPNbZmhZnhdmmGJyGUXVes2lu
QP67SwdQMG3odLxiBzzQ4xgD6sVP7RFsv8/Xurad83mevZZMYngeF6DF5Pn95O9FjDFVa3XdFa98
vjy5cGNWOWDmXsSZC2JdhgGq/dGiySuX1SmNxxvRslVix3xAi4d3ZhEl7OWqlNFVRp7AYnIT3mKM
9U64aKI/+DYm5P1NvXx+fPhmwaW1uMYc3DaFtRozcr5nN6DwbzGAey8f9afWNTbNN0wW3fje5yd3
7YULE2xCyThgHBTrl2YbBR6OhdkIHrnTD2JrOvFBuwWXeQLpjXnmsdj++8wWfgSgl6CYhIlSdrHQ
LMMcpXCiwtXlU9vkGFrzI6+ym8/X9dGDXBpZPD4sVRuGoOWu3woM2v09qLWm55qFxXPDGNkKKDEs
YPaRrVKMa25//3drWLyqEKN3MbgPG1X4qWthaPGE6d+fm7iSxF3u0yKJq1KI6yodX0ogd9MmuZ9B
DONr/sN4qx40TABf8RNXbtuluUUWJyc1TmGJuYu5sam/xLvAq3TMFrIV1JxO61q/JeZHHaaVEDr/
q5cP+dLq4o5rejhKSLiEG0wxsu/Rjx0M5PgaNunXuA++/82WSpBMpLQAjC6Br3KAk8bMaN8dfhBM
+tyG33w3+T0z9BEt6/e1UuZKfgCMDVWUxWAL0XpxhGpMkhycYc1t3OAREIqT3IV0M54w0Bqg/A1E
4170hTi6S3esO8ViJYG9eoXO7S/OVBgYWO4HqFQxMt6hDoQ0hYsec3zTeZmHQR1rT/sjkHG53sVp
Wm0pix40NRezbDlmYJVelKhD7AvdKTGMqsDUv7X4du2tny9xkaTXmG6N6ZDzEhvMTMK4HNKsvIyP
EfRyUYvoVg1yoqWOEjyFLngIv6oS0jXMBvr8bl63IuDtZxYF+cPkOovTTTUMhRUz6vYYKm+0N3ku
dlzb/4URfFgInDdq4ssCi/Op0kEZZYfaGkNQMheir8lmoFRgFmfXrLivK71HBuQc4gcJmIRKuXDC
mC6u6VXGEY73vVfi8xPb0utugF/EttpgoMVT9N7Ycpt5E2brouRZDdtXLiOeOkiLRGcm+wA7Segc
+moS8JWy9roAw2BHeTLUOIuTHZNjGFJfe5/v7xVkHUTMM5uLB2cY/jAzujHPa9vcAFhXz9x38WEG
zPW3i0eSuWXjTNwdDHudsX7lJVzYXhxu2tE8x/hhDFQxX3n5JYyeVxb3MWu+XNziqSlo8cehxInS
0+h0NyC47iKXYqLPLt/nLljIa9XqNf91saTF0yMqZBEXWNLwQ3cmF/Mw0LrunN5F/6/atruVBc6Z
xyIYSbhqiV4ZIxZbXlkdhJWaY0qw9zZs/AMD3mUbODjtUG3Xlnb1sNAvI1QAXzOWfUbVj/gEQoSL
IrLfcfdVZV8+X8t80ZZLQWQhArRd1Ih/IOczd8JLP2wjkgm3hKjSzF5D8iVFIwSTxT63c20d53YW
J4TQR3qtmS+8/9pOGJHSrtWDKxb++JnzlbQYVGNaWEldkwepBfgy1d9wnOEgCM7BhMcCtLRYhj+K
vsBoJYxVah0MxNpBrMQau3rX95gt/YwcrHCCJ/nz8727Av/gW2oz89g0QbMnyx53MvoVPlXS4cMd
G7KZmFsYu1n/AS3y8/y9D0TPF23N5sc4A5szOIhLLri5hCxqfCcMkiHEy9IbHQwLdhO3zR1m2eoL
vrDxCM26HeS71Uzoo++4NDuf8tkplgoTNxN8eGFGSr6zTeyVmFDv1G8zt4n9Srbx61/sLXYU/WhB
oF1c1mxA1TCRDSOx3HlvMUn6oTuGcB3EwXe8duGTudITuAKCgtZ8Zm/2LWcLDMJG6ztMaYIaecRk
dkTWMSg9tMZdv9T0m6itMRcnrqCUHi07KDC1y251U3dWlj1f1Mt3b+jglBlYMUOiZSyiLg0x7b3E
DDAv2nd7fIzNTS18f2OvNhhh2h1SAMDzeB+Bz6PY2Uv5nsC/rf2Ej1708icsjro28cECdNRRP7jm
YYaDNXw/zvWf6KbZal/z95UVz//cZyueL/zZxg9diU+PETPwoCp1xLbYDLu6B9FxEzqTY27UAfDq
Kqry8bgFhtBzcB1RMWDao7kI9BltMXocCZs3t5knZPbhwd9YW+pClL5fWeGHM13YWgR2gVH8oRHA
1qwo1Gxk8S5mGclNf7IgYLHs4r3dCLvCxAc7dqUGSuDKkX7wGfMPsPAxAcMiIO3L5WLNQobM57EX
oMvFOCbsfov+dcD6Y8Mw6MwmAd1ncYyRBnqKmWJQxuQPkOlgoNUAMTFqwoKu7eeHG4N1QMII14BY
P8vuLm/M/yPtupbkxpXlFzGC3rzStZvu8aPRvDDGSPTe8+tvovceiQ3yNFY6TxuxE6HqAoFCVSEr
E4oiWuPrQO1DQdOCiMaOR/1JwKp9h/2TxGCTgXjaAKZZIcAr1NvUFLtEf/QzFp5s2Rckv0TDI4OG
fEPQRCqjCkGeIaCLFTvyBvVoiXbCl7YN98PWcLytLDt4+BWc3MWgtQEW4D8dv4JxWeB5KLIAZiXz
lHEfM9RgpcKKDzkEL1rcDLbfFD1j7yz7CjCjSSgAdMVQEYepDzvVac8FeZI4tQOJSg0AoWIr3o6t
2Ti9nTn9tgKDM6P4WPvCc5vUhm2h9wDS4CZ1pMmVEXhFpWK4Rc7cRdQhXhE1Gx1DtpiNohqQXGUE
DViqQOHP4UwUBdSg/Co5Ym5JMrPR58ywVRndi0VKB5M6LKIjqOEhnR5wbECRAvIsLKTM+zuVB5Zf
/w6qd7BP/LgecNZWb26IWr0eBFgYZm4TJyEsmj2InOKv6xaWAQWuKACm4Q0dZSid+GgczjqXw4Ig
vUzKbV0eC5WRAKx9oLkJygmo1RUYdo0SR1W4TdOngNlpW634FAynD3rzuj+rn2bmD/kxsztI6jq5
xsM14FtCVL4Ggx7tp1aGrKQPbqoc8nCMSmX1C83sUUc3kXow4+iwBxUfKxcqtPQ/r3vEWj5yJ808
AkpNB1sEli9puPsETPB+ekrEI5SE73yVNW/KcEehDtMAQj9JCbEdxvQx6H9CbpTxfVgGqL52COrt
AI2hxBmEb6F8JxYlIxysbmhSO6DfgQyLrh/C3G98roeBVAGPulzibJ4IO/f1j7LcZkjcwTtLZtuQ
utP4uYbQTkgTlzil9jqMrx7moEBCj2bbH28v2EHPBDmkSIaMqQuyVEUpA3QUL1KNkls8ONPN0JOc
686ch1MvQ+ilFelyi0UdOTJQWHIi6NRxjgy4aGSBrqyxPWHDO0A0YxQzSB4HJ7cDV7Na7yhjcBwa
Etd/yLLLgDgxd5fsntleBydXEHSgoXegmudvM9ezGxPwArDz2FDUdZgJMjmdS8fRgVZFQ1cxUXtp
D8xLvQ9+lxQ3Yu8MT+DXeQ4PCR7+QRZhT3jYAXzJHgguP2G5ujwIxNXfpqmoWOWDnqh+QKZOMBBt
h06MFo53pzn5TnBEELGarIHP86ZceAs8NaoRDQX2OZOerW4Ozt14HGGyTh7rzE2V74LxQ+IDZyjR
re0IpyZY0QVGcrM8kHB0ZpXawpDMgcRCBJqpPN3neKPm0zcFIOvrO4dlhNrBrQ+pA2CfkQQAFmxK
aeOkBf8Ux+XL39hRAXvBe7+EHPlyw4wC+N8xy46vJj8EKshWlSe1rRnOLB8ryDGQf1uhvCnBySkX
Cqy0Vg3mhGZX7iMbpB4cAAW9DZarIxhZbN6M9j6gX/+bh/QR5KHOwHWgW5PrFvXqu6eCtlATGNt/
/Xv99pA6eK0U+tKoknVsicCaOVav4ApiGFk9YrNlpI6Yl6EiVXy4AnTPEYw3lq6p9vXVWr0HZiao
dEOUM0ippPBD1D1LTMEig4ZyRtQuS+543dR/Ob6/14xKNYCMC3qwEkGFAoWuf6g33bZ30ztx+xdl
7uX+o1KO0R9jKNDDUvrSvldP/E8yXBNuIGfi1rveNTaSlaLEVix2N5axMegEJMySoORTDKDFqKgj
H7FfVs28Vxm7/FzPLWPhr8WkOYK4HlyFkwQXa4fIkoIT3gJRvO07GP+1Rxy6fuPvm324Gd24s/it
fkID46QdMfb3PbWNXc6Ikoy9SjMFdXVsgI8cfmvgIfcUKDtMn4z9Q2LTwmUVkR8FprGMXXqUhFAD
ARlRb4Un0viDcMEdFA83OSBZLHaFVX9+G6MbFWCTKiLFxxwYhgAkoK7KEIpjQwCgAeOQL1sy2Ksz
Q/QJjPheq3Qc8j64VxNAMlTdHYPRFIbQiuUjxHOsKmfUfyznqJMoZyBA7UmMxIubOaaYVYTK9vWv
tZ6ToR+t82CpwOMBFSGBsi2NHgopaB8ONyB/+wgdAySw+xzIsg79NMkC/AAkAKGdbCoLg4O1xdqT
y4dDcg/NfgMVQEHJHkPxAr+B22qP7UvwBVEXGzxxkBIQTtDTeuE2ECI/YrADrHUPKWMJ1rPBmXnq
0xLccy5oMI8nvF1aWAAU2rXNbYwX7yO0WTC+1Y00s0Z91NBPh3TsYA18d9YkvKgJaDeD56z/yPnK
DOSDZ7AcXJZ2ZH1BtYBmDI+1pqutTkxDXCHIWm7EChS1pmil2/wBDQzH+5LQQ8UTyJ5E2RrNcsa5
Wd1gENpF90IQhSW1UFIGHHi8sYnBojdWgLyCY/FHaRmnxox30wZp6CY4TSdlQ6Bc/AFittbwnbHJ
iYN0SEKZJp43GWlqXqZToDKslCrGAvyDilCtEq6Xz7GlWcOWA22dme5AUrXltyJEL0B0z7gGlqB+
rPr8B1AfPe4CxRt4/AARjy+OvJ/swo3vQQj52r+WN7wNDS0mmmxto81tkr/P0nA9qSD8N8Km2hYu
VBTfvWIgUkLSY40OlwmlmKNQIT/HurD8XbtdMX9IuBvQNsAwwaVpPlEjQfFLuFtBG+WhFb78jrWp
yb+x+Kbg1ACpBnm+pdvHAZR6+IBDxw9MT4kbbsszk5r4maZA11TWvwAFroVjwodkgEtZAR6d+oha
BYrJjqtTPHOQFwAMs+2f/CN5YfoOSqTvrECxYg7DCRImnHUF2Fh6LGJKW6VpRkwIKj13r4WTMwp/
Z0KDeC7qDE3lqcCL52/ozngwUUUPgfheqX8+CQQ1bzJh8R8L1Mnr0yiUhgqVb7QLt2lilxvdrgCC
gowsws32+jlfi+QX1qgvlGi9GOQ1Ggy+2nzFof6YjMlT0IefYt+8jUV0SPjgpsg5exDLjVQqNyDy
ZnCBLUe7KI+pY6dBpxJ9IfyGxiZj2lAEAg0TCbX6F2YkfspuZfmuuA1+sLoaK4du7jzdK8qniG+g
Gogor05OH6GIi9KDoZX29UVeovEvHaTL+37gq0BuYUdCfeA9d6gbQYxe4EzIP8+IMyCri4MAURgw
hJoaev5gpRdxu7B27/I1nfolJBOdRTiIOYzZKGGp68pUNwF0lDEMIN8BamRm7xL4/5h0iqw1pgKb
DLJXoSPbGfmCbXiQlzVc1e8Y1wXLCokMM7+asBohVAgrMa84UedDahFwuoxR6K3dzBcbhvyMmZky
Afos5rB8ELrtIGNnQZLF7jRTO5BMsNwYzrRXP0FYNNrRoXtubwMHBQNkPa9vqFVvESCQIuDFSKdf
pSapA0OtjHaRyEHVaPwwuo/IYLFprQZTQ1QAUBMxsHuGcc18zcBDm9UpjCT6J0RkoFfNyDHWDAD1
Blld0vJSNKrh3NVjoWkqOX3xtCuRJVdNyFio1fA2t0Htd91IdQyqwkYFcCeeoM3yaDif2kZywlvW
4WL5Q+30Ejq6/JhgwaayLC0RvEjQlWV2J0lApi5x8GKh7Yy3UGBi6Ee1yi96vQNfFTzibr294ZbW
uT8JbH97Ex0kYDcw7IhBnr/ZdIKIuVG0J/EOTfNXtaEmQbYWdXmI6VfFCyGLKkIpS7H/fG+D1xh8
XDwm0yG2d3nEEqVSBrGFf5GR2gUofdIMD/jQxLtuZolCRCSc26EunTpKUcJEsKMfNfONFN2+uQNE
C53ewoF+3qblTWZmv3ZwfxvFEO6lc1rGQaApy8+9jX36LtjpHtDHG1I5or/r3EFtJNw0DlAgViOb
hj1u+m0B5TsmgRHxbrGLfq2yQSN/ej6ZIhDHoaTCcFi9adCvCsBeykovVo+EpGEIywDbMwaVLv01
BhBp52Ajd5SK7x6rqQhOg9xpzvVvuXokZGAiAE0jFLrUp2yh4YoCscCRKHgABCK7Lyarb3hT6B+G
/KtsUsY9sNbwA+3fL4t0LyzLtcHLDFiUN/62P6LuR2WmusmetYAM1+hmmAICCF8E/7kzdcI3Hiq6
RqRBv9O/9QzISoS8DRbrP0ZpkZMxc46KmXWq9F0MXQIkoNUOQBo33khg2ZC3fxlTZqaokBmVHkjQ
eJjShSfDuw/FFzF9ur451gpJXJSEuAowElmnGZbLKOZkFQJQ2OqSaxwi1ziptvbWOZKF7swPzVaP
rJtgBc+hwCbmklCK4LzTeA6hElq59oF86K0MWXyJWXBgFpX70cYQhavZyZ6FlV296eYmqaNWcF6v
Gy0BW+yCr3bTHVp3BGUqqNTxFMG6C5gOUkUKwDBd3Eewpr6pm8kWodDIWfp3TJhhoLNFemv3W//b
9S+5FjznHlI3Q60ESM0V2DQ0yOsVAHLJ3yCbyLh/VnO8uRkqmkjymEDVE/tFvAcN7A2SugOpReKj
bE777lC7kM3d9Y8ceHuyo/rAbncx/KTBvGLltzz0utB6qb8H/PcqvRvSP2+TYn8CaoSGg4IJUuoe
ampISjcCfFSLHxzUrvAeyrhf1yL/3AKV3EGqDOwjdYxCQws/WyiVpnK2u74fVq9wRcepFgiiANYu
bxfoXAJXVCDhIkxjSWc1TzrUJB0I2x9i6JSACBB6Z/UmdFnbf825mWE6B5tGT9YT8jjNQ8utNCB3
pH1d942cH/p+xnuADvZfws8jk18wS74LyNzo0DlD0Bok29Af9PijKfEEMhz1UWYlySvuYKYGPQcC
ZQDNM/WtoApeVU2kYh3v0c91sevtYTtBIhq9R8vYJ3vfHR+u+7cWlS9sUpdMialNJYQ4khPs1L1y
iB7VO4wwkFcPQt04blUQZkPch7Erl8uKnA+wbvR0eQy40cBurfHyuCBMr+2QgbNjAopSVu9avbbR
l/veKsbmupvLo3xpj/qM0J3Xi7QEf1kmBZYe/WxFwSpbRlwk2/xyr1waIT9itlekCWzqMmE50sta
h0LI9JB30MJRmx8NB9Vbr/SsrjG2wZSzPiK5nheWAUUFGZcAHheaFUStoA0edeCRatDKaHYiiLqn
Q7NVNuTeUT+YMIk1e+heqhBL4NXl7ImijmUuFqBRkwuceBGyplAVxNv7tGntgZBDQoaCOWG89g3n
RqlviBcuJcgA/7QbFzNa4J+YAMPJN7INOXLMSQVOcxLN9JZ1obPMUl8VWs2ZwY+Ebrn2JCtpURko
42BOesoYNV4B2CKAzlaVyhzyWFHqoTOALNv72yoAM0NTOHxrapg7i28VEDwl23GrW5DU+rh+PP6L
aQDEUVJCtEEj53W2daGA1Od6BrKz2oGW22RXd+oICk4i+4mMSb9r9i3UO+2is4N7ZpK2vsK/jVP5
RAZUc58SUj6/tKCE0Q9mYGcf5Wf0wrvDJr4hWHw/MPXRZnhNYht9bBS0bf7jNXVvCc0YZDoBGHlv
UN66m7byE+HB6HeiWRxZ9PbL4E6+7i9jNLtxaWDSG7ro2L5+41Y9dFClmnWBkAviikM030Xbd6ra
69irYVVCcygpb5q6cmUvvC0kyERWEtgHoI4aqv23qpksReVYS7r6LfF4gkYSD67g80abbaSu0Aj2
Ho/0ya489W/KR3RGqJFs1OvwTFVY3on1CLtqE70rcAMSCRcaolYJSglZTmzekN91fG1m6aMQM1kc
1q4sZWaFOp3CFOkKFxDysRTyiSg3643xIB0T3vyHiyM6VGArRymDGXim8dWdOjNOnU/Vr/xRHkGC
2L12NqGQAATRTN5J5fRXr0UapnGgHIbJc3Cb0IhnP5cqryeRloPessX/VK3aSjegDysc4adk1WAd
YWVyK2UTXlkFzJcB5Q+2FnraXQxGvhobEIDWTvkuA3gBfKEr/GyswPGsymWc/JXDOLdGPzhgyAlq
Lv9YE1yox26mg2f7gO8QJqjs3rdZ43NLgzphNkWvGNNzgsKTDzw7F3HjtYYnD7FTtMOr7/F7oD2c
604t0w8dtYQCrQoRUUakXxXDCImWN+YR2gX6eR60dfsbNk/zype6tEMdhCDxwX8tAbGiSS3EDFU7
zCEM1oV2HoLcSq1PelfvBqNxZG54VY06A1tsyAo0K86S6XOJKP1h2Of8I2frCe05CRqzZ2e7/++b
yf+i7bPSYDpPuf+yQzKhmR2+7XUuVoQQi9rsWohCoQODLcJe1pUNAod0HdBTCfRqGnUXpbUHncwK
qwo1vLSCFGWqbq/vD/JdLi8H4sovC/QF1MnQbB+GFEgjnG5zVOuXTqx3aaC5kq53jKto7fvgBsAu
FKHMBAjH5bp5ldANQ65EjtAGEHqX5I2a+ZkpGOnzUCUu8Fc3FSFi9nPuz882fJyZptKJFhNo0eDL
UK4DC46b5ZG4iQWwqPYhdCIriIVj+EWfTHRCX8bMhwIvVCfQwsiAINIDIgA7pJtWY5JEry0/0ZBB
114DmwfdisrGKpLDTCWSlN1o1oG3Ff0oswJtdBudY2kSLW8rsgi/rVGHNCkm5O08iKn8UbNy5RRk
pyD5mtRD1zG21aolASgZBTETrMpUCwNS9snIGVrkqPoJAok2WHl2avAUBzeezGI/JJ+O2sLoLYMS
BeodIuxRtrLYQ9cahIvOmAXSC6QcgcFvU+yigostZVKaY+z70V3iGeLm+uFZ5hiEw/m3Zao017hC
zfoSk4zeWADLppkSeGOH/9EIdUkICmd0YqtHjqcWVmxAxpOvnCHNd9d9WTmboLnQAOUltwSaG5dn
U260qOwgwYqYNtzUG31HWuYNkzVgbclAei0JooSLDwjESzMQcFEhFQNh8FyBDniV2rF843saq2pi
mSH7cxahYzHNBbmFLlYEuIL3M7MbzoLCsQZOvfR78fYTeud/XhLqhM77l2fUAk5hDqkAQI/ssHlI
0ntP+krjp+vfaKWxq2O+X0bSALo80H1SWz1MalWZVAGjs61pvHZ32W2AIeHOga6FYaE++RccJGsr
CRFOpCeShsdgmkU1KqPA7zyYrLtnITjkGpRix5e/8Qs9O7TTFBHPl9Su8NBEVAUgpx1+H24zu35O
n/0jWvKbwoQ+Moi8TIWxlORfpIMGegNgyRBFoAg16msFedD0YUEk7vjYKtqt4n9XfDxpRgzXVm5w
yIxi3AgzT/CNvsHrFrLOwgjpuaCJyGA9xJIYhJVLT1DGgJkYRLdAvWIW8XKrF2I/TRjeRHPfaFzD
FzH7m+w7MBhVrf9w/Tst9wKQaSLZCeCEQspKmZr4UFb83gfUMNpXxjYNAfb8c28w0GsAaY1ADnps
KuNpC0iXgBjSs/VCPFQa9NqF4iF7SMeKYWjFl7khOtlP/CmHHDF8kQa3qzBhcwySu+vLdUYOXW4y
FLy/nTn/fRaFOOBi0dCFM2pwjBpVMJO4s9tk2mFWNPbvcy91shDcGdxwyMeP68ZZ/lHXRmFgHFwJ
UPXX2U+F/1K9/YBa+7qNlawfDhLpRkQkHCO6taB7TZIJkGrGKx1GK7aJG9g1B5r6YIvpiu+sJG7V
pZk1yiXVL5PG10CH5EM7W4IEmKgOZpq+XndqeWJJlwJNU4D9kRjTj++R2IMzt4WAu9b1Zqs/ixrr
fXrNDywb8j1cgOLieV+vOCUC8T9n1/vWkdCLtTJ0RnfCPaHDbp9EswxMdgG/5hfYAkC1CtAyeZK5
jBNoBuP9lQNtSlo3JjdJptj9vL5yK7j38zg0UZlAIgY+mEsTspiPrZSCnM47ehsQEwhgGbMUAW0C
cESjHWtMaE10x9CeInSC/deQqa6xsrTwUUWXCQKzSD2pe7+LxojL0kK3lQpi78qjKv8Ipz8O6Rhd
JxKYhPcIrJaUDaEXMjkmmx7Mseo25dTYjvM23V5fzBUw4KUZ6obSSo+XMx1mCIqhEEx0lk7VIduq
t+jfHzSfiQVcefUhFpFW4A0GG5OOvXwqiqlIuKoqe7D59xJTE922tM9knRZarQc2/nDdJsEtiejy
GCBZuNwyntLnmlBjBLi3hFfIek5PHCY2OEvFWzWQzwBM6WboSozIvHIWgHv5ZZUmkW6lseN4o4QY
jwzx9/wQlayihGwCKvQDhEV0VwAxMBa9czEFBquRCEVorgZmHnU/0jblkYZ2r0HF35d+wxrlXLtt
LkxSGwai6ZM+go8YG8Z4BU/bBjOxZAaYaK3VPiP0rx20uX/Ud+NTQUTpimgCAJHTaJXte4C6+X9e
/GBL/l5Guj2hCUGnpRqWcRJufHA7eZ/8n8sYkkAPqJ4IEhMe811U1GqqWktFAwkU7/dWUalmEICS
AjSef36gZaQ0CnqoaBkDuHm51VFb+VkYp+Q5RXDF2hQaswOcmIykFgXmkXyw0l03ufKRLiySYzDL
P/hC49tBHUCWyPWmmkQY7npL2FkAywz5+8xMnUWZ7HUlYcaaXgV3+EqIBnHgCg9k6ghDt6WTbAYW
lcBKMWRceEcS45lZ9DxHSRsSw1bfoHwH+DKUSMGBioBpyp/T5LSPEHrFNW5fX1SmXSr+txh+4cN4
MmzAR8ERX2uYvgls4UE1wQbjA3cMyvh/0QtcXWWgiQGjA33KohArwxxT9+hH4GMajhBxNlfKpyjP
vl93j2GG7qYEQVn6Qg2CTX+6DZpHpXvn+vvrJlZXEMdaArEf6X3TkEBFbvAUw43kJISTNYV2MN14
trgbrMlpJlMOTKPf/Q2ejYxt/TJL4wL7KakLzN34TtZhQKrRTQEwJSngNtfdW0uDLuxQAcXoy2SS
CtCHZSHU7WRL2ea9o5343XAIn7VnZcPbmFBqnuttjO1z4D/Cb9d/wdo3nDtKJcoyUJ0tdAx8hwPu
Kw2/uAxAM6VmHQTiB3XHEYw79JUJnceCnlTu/b5UNfjZ4dT3D/5es9KbwekeQoDornu0MoVCvt1v
W9RhFwtZUCoRtgjpH28JdnXr72sAYB6AJJ3u8xsNSBghshvR9SzWrOxanQNYCqFFgZifAnqty1Bj
tEM8QmfGBx6msxWgkfWdildhaJ674DJ4Yvi6kjsQbkPCgQfYD7KiS2uTj0m0qakJcAP7RnEw7YYE
OuuRiUG+Gl0e467ax7bn5Kycc+WLXliWLy0PisZBocrDF3XTU3WX3+s7cP7Zaod4xgLPrmzSC1vk
77PwPdSTmqeagTmiznf9DGqXeFDRtZZx7ZKNQW3SCzPUxkmyDEBIXkOV3XAOH72FjW9p41NZMM7c
WlC7MES+6swf36+HmMMLgWNss92UuvIPAhz33NZADgaG7MBUJ5sJuiFHeeEe6hCyU8gDKWVVUMSy
5lrsFWDDOvCBe3cySi01P/OBg1aBsZrrXmrIas9UkWhDXnqJAmsSBg7ayO2+yc2KFK9goYssUI2O
lu+ZybbMAI333hlnYvUzzuxSOxM8yFLgT/CzshUAbqAe9V15JfQvnKPUpjI6vGhLFm/Gj6y+7qrL
wDDiAQ74BYC5qLxaKCaj75QaWp2Bxe9lawhBlgj8C3jX8T8lq7tnxzuSPtOfFQ/eqoCXb/JxqcMB
XPlYdJ0RnJ9tCWOFtKl37PfFtSITCNPfdqjTQfLRFAPzgEnZmjnddLoJuhT1ZrCI/KoAeM+G1Xhd
q/guTFI7tkdTKgxTmASOILsh92PxqEamQURfnqYTRrTcYsMcymJ6Sn3Frh8CHCE9ABz1TCSPs+I7
KV4EyLjR3+6a2cpSBRIXNmEPQAxIgtwmcOTERD/Exl1VpKb6CX5VEzR42YbVIlvfrOibKhgfQZOC
ruFjz8iaAuNmTr8/DzI6JeYfgg9gNABDSR8x78YCaZCTt9iq0JkFl6gEkCGNC+kDvR+HAIJ1YQVK
6yoyS44xGr0yoYmnKR3dMtTTmKijOy5d0OReI2rBGY4aWMIheC1PGZqNemF2B4LfP8qZBVicK5oi
h3HUygUpTvdcd0gG/iIQzX8LtY/8VpRK0chCDJcMN9NndKfcJLe5JWLs33ssd9qLfhgPJeNiJmdi
scazBaA2k9HnYpZ0lWi3dejWDSYYja+qRV+ZP/E6K/1YC7UzD+lHJqi6K0Lv9eSk9E7wBYVaMNIe
GhM0Nq/pq2p6pnCMXX+yr68syyyVY/lRVUlGAVatVNhm7f048Gal5KbMkvpZAaZf7CZaqbb3eBWM
LudIEI6YswUw9rba4mgSAezshZxNFTMFNgvevH42f39FmkUgx1CbPwUk2L4San2VEP3q9rTpnPQO
g1CYIyuZQ23rcW9mlLo4DTUqJqhXIA75IJJWoEQP8l0tNWNrAHe2xXsoRFhX5urtNbNJ3V6CGKmg
cIajicZZeVCbUvRUlye93QXBYDb+U9PHjBOyfq3MbFI3WQpi6ywApynoE0AIgk5i/SCh+IFUwy2m
AGxgyXszLQGVZSGsVlcY0Hxw6aBliodK6nBycdDUGh6tEJ2ip2EX7qvtJ7lAQbpvgQWDEYDWqks8
wKFhhcoAPW46GOLlvipKYo5MTOmyGR74F/FdUnblD38zgLyh2mc1yoQm3gy1SUaDPwJGX2kl5KOK
BqsiChHQ7tJJZ9eXQ5u0OEFaotm59uUBPnM9GKx9TpBRAveMYR+eKN1c5pmjwnGKUCq4OdH99lUb
PG64q5U3wrY+PY/f5G+JZbBQAyR5pcLshVEqNeGzNp2ExCORr3yJvte4aeJj9FLelE+NVRx5VhN1
ra6EQbx14i0VFfRi6+iF4QcyDAbQTsTnbDcDDqZUWINDsoPcYawquZyWDv6yRzd3FOBwoeCNVVXA
ND464WF4bI/St35DWu7xTkhM77ODeLdVbAYmjTLLOBXgp1oHiYMB4w1mo9t3Qhnz5KMkM9PnaRPu
DLRF8sAcQV/2zDo0q9sJjxo4NDij4NOngBO135aVLBah4z0Hd5MdQ362Mwu8aaDn1NvyzfAWuqxa
aWVWzVDnRimH80btpkSDUf6+szm05LWP+Ef7kLh+bPrHwumcGhrz0F0TfTP40QJgHj8yGydre3r+
I6heED/FmGv28xBNGnVPiIJCPOrIt9kpcyqLrX271qi5cJr8nlkZHCQS37VVFWICvrrR9xC43PrP
2gGjegbI8FQb5BKiK+HSI40aZgNj1Vu8ueug/kKEohGGBSe3dev5oTN8xu+ECTURLO0YvGNsyYzu
dZ+Z/a5Ff6Ki/Msi2fUzfwU5QN9Kg8VRdoMn3hHMYVtFFkRDBYVU4m7sSn+ujgsYEDCUAJUIaBSJ
NBDDq1OAM3sYxauZq6KwAOC8gaoembIpP1hFxfndlg4bCph7MIN2BohRN5wn1GCFnnByuW39U3Bl
y4jR8UbRVr8R4r/EjE4C9ImscQf2420FdDZrG69kFHD41y+gW7dF1ofpyJPIrH2D6IjpN3vxTsS7
QgshCO6Wa+8ZkXLtipsbpM5uj8dfvm3hcuficcHJ4O2Gs/5p+cWPemqiNN/8jzapo9o2Ql96Hmzy
+/ZFsNuNehfiRZQ0/SywuB3ZyQRJxBYf9ixSqkGyACKsl5u31QIQ6HNYVon/nJq7Ud2lOkvxfi3f
Bqk0UUL9xwh1lTcGML6QuA8dqQVb2nTjV6by0eEle9gTKp0QnI1AAmTM2Zpl0CcCrKgYeYBT8KZN
v/JOWu1xGZQnSEroePsIte9nC6FUwoY3OAIGbqxxy/yKizqGWAUSFb1qdIsUmv5FB6qnavuInM3K
38g6SP5ArRW5HU5oq23l1goBTTC9BgJaLNWAZTSijFMntRfyvmias8uSSzRjCtHRbaI3pVhKa6PA
YJ3MxRa6tEjfrGonp1A/RLyHOJFddrc+upxVxwBrLUsnWMEGEvB4ipFojExdbtQ8bXpV01B1N4bZ
vsjOmFsE+QiAoGpWmPArMO39x40NQwQqG3OoUC+FbAFNB1KEDcRpJAxJJ4GU3eTeaNyNIa8xTv2i
tAdw6izaBCICQAXOns/uj1Hn+jRGOu30cf6VdRF4Igs3ybWntAn3YZozquzl50KfWCMqDGijgN6H
Wsi+7aQGpxHjqMqr0tyHemz2GSN4Lk/ApQ3qwFe1kgdjBgRVKHsPSW9EZqPq35RUA+Ob+Hg9aC7i
NKYi5v5QKfsYN5iCiqBfrXnvcvphgN3puoGVIwUL4FgUNLTVyLPM5daLiq6GygkGEfXj5NYn8tYL
iau9/ulbkYPHZ+e6vdUPNDNH5RMNxhOmJIG5oewsKXwqNSwfYuR1Kyu77sIpKk5kcjJAXxHDXEoj
mLGem4rLa+8YZe3DiWFqmQbjE5HRMYhyoTjG08HlAiatWEx+hhk5GfqJ/Ml/F9+EzxFX6vStOiSH
6CU8ShuQdb0oe88soAz7FwcZkDSMJYNNXSJYxcsfwPGl0UJNCxrnGKM3Aym68bWBQZO33Idgs4Yk
CAbYcd2AT+fSRslNTWwU2Id5gecI4SlkMqXQqS3+XSCkEQJB/wLMMs3W6LWdrk4Zxrl7i6Cz8gFU
Cv4m3skhMNKKYiMrYWzFxdaHSV0GVBAvH3jHxQw55ZTfhHmk654dIQ0hrH9m+aw5+qNg1bsGvQ2m
QXrzEzEfSKHKQDMLKIppRiKvF4JSiTTOnm4l6CUaOTLMyNVO06b5mZyEF/CzZEy2pcWcM7FqIIgA
0wd082J/eJU0THU1+KCN72wDjfqoAaVIiLwWzZQH+XG0oRsMbQeRdTQWg2SUZboeTzTeTyZj9J2+
8R2h900vR0+n7K0IWk6NlFrYqIfA5x7SihE36Rh9tgz6G5lIfaL7QBXE+dSkuefBctrJdodiP65L
s+4HsHazGCzWPiqAtBLZsxiQoJVFKs4v+UniUernP9NS2ngDprAmzb0e0VYd+m3FoBwCZ5YYJgas
NMkzZgwPSCdMQ7/xa1aNuWoIocwgL3ME6Hp5KNAJHDXA33ynnkSr53zTGDObaz6iLtldd4mOKedv
NLNEfsksNUiKEo+tHSwppbEvAs8ZqorRyVuU64AnYmoFTTwo2skannAubeRqOjV6D6hIAYWUxKxu
REu48TagS7S4hxiM2dx9X299iEv/i4b4IqSBsQ7LiLE8jBwpAs2fpScREtZpwDCvavOJWZuJrWkA
xeErTk71AAKoTfrt+pouNiPIpmAQyaiBkRIAoS/91auyHpo+jx21PHXhbVUekojxXLUMm7CB8QiS
rOLrAQhN20i6Gm8oMWpHMPnKFh/DMdLYU95KdJ14kEwxIyepDeeVHJRCCBu0rCJnxasjDb3OJzBm
+8r4j5qfvw2sCtTiuwY0EcFBxn8YW3MZMyl75PfM9uaUtHIcyBMGrHKz823vXrSmpxq5EQd38TIX
W5Vmgxt2o6K3tbn+DRfvgXAWZGFIyHCjq0guqLPeToXXtBmHMaiosJoyN3Npl4kV0OacnU3yblBU
Uyv2Kqjsm6B8xnuoOwkFMurggOzXkTre7aJ2p4aSpRmnEJKy41SZECGKRJ5k+4zQtDjH5OeiXYPX
CbBogHTscq14OR71IAnQ0fUfBr83tfDu+oIsDGCOjgwxYYQUL76LMh7GCww8DqHLC3tR1WwUvtZ1
C4tjo2PuXwdiGqFCwh1NZaVZpHRF0Wu8zWkPRfezyitb91ml0PLgnK2Alk2WUe8hGl0uVODJUt54
Bg9cYLVrHdGC1vYx+SZjF4+74llncOktnQJckiB+MRqPQVWDSm94TgkTeUiBJYs9dVvp4XCbR5Fv
6pHHomul823o8WLpkNIg9MA/Wo+qzsIAcwmBiArcw8lUm1rY9ZoEGo6WK8woKOPtWDKOyWJXwCbh
6FQg6iqge0Z/s5oPu6kuRTsf8RyF6nzsS8b1wTJBZdZtUWtBUMBEWU8l0PqIu4lVsx5OF09ewFVB
ZQoJPFIIVHv0Y5BXYDZ9hDghGjlZZ1ZPsRO/+VvZIa8W08a4z0BAbQKVs92ykTgLUSHaOPm0s0gn
ZH1eyV5J+K+r0Cxs8mCMWYzX/h2E6Y50Cm8A+xVI8x5XJKt0WdzPZ+squsvgWzVAA0CtcI1ZpEDH
4BPewXrOGR7rZ+U2PRGKo+SQ6Bb/le+akwLM12QnFrPxS58QyjqdJULjO4mSDNZbI7JS3d+kemQZ
Kv7T7mr+IS1HM24+DU5w/MLAcDI4DUNocNaB64XRfapDAjp/LuT7Wk7s3O/txruRisItRQjLK895
LDBqzUUEoX8wFWr1Cpq2uVxAxvAouCDQBhIdbSI0vh6qU+5yf/6mTxuk7kEj96KsIiuktGaeAO6L
XrEb3Kq7xMxekvfqBKra7fVYvGjHn20S6kodAB+0JqgdqUdlEU8xjgN5SGtA7dW5o6OCCjQ8cyES
JYppX+6SbbBNoajEbHEudgXCJSp5jB+jM4aJL2qRlSYJUavg0KnZIQww0RXHVt56DDfp2AJWJCJh
T+oxvDBDL/Ty3EHtIa/yCVb6LrW4WjL9urOvr+SirYiXQHQGwByAIU20FWloX9oOfSqCAMlVTP8U
3GluuYFkr6ndiy7RCSMsktctLpfu0iDlFI+hmb4YU7C2Vp/9cIw5iHMU79dtnCuQeS6I5jNmqOEW
wgUaViq1P7wslMKx+T/2vmw5chzL8lfK8p3R3JexrjZr0neXS+5aQlK8wCSFgiBIgAQJggT/aZ7m
E/rH5lCZVRnyiC5l5jyNWT8qJA84SRDAPfcsb4FFwzKBnPASzutfrKv6mn+ePWNR9B28a40mM8yJ
YCvvrxBU8tzAKPFD3vZ8Pf/iq5zrd+qGKRo2db7Sq3jnbGanlLkj9hHo/uNcwRXjQIgtAoSBH/Tj
rUcKgXhpmOVbji4XEzwTq5SOTTQsP7i3H4zknx1RkNEBSgZKlhW7QMb8lqyn7cxB5bvuVdEUmoJx
Ey700swh5QyhJEv8y2V7EBm8vf71V/lxKnnQe6O6gLkVire3pfC7fYmh/OR0wlRS5IpD4SVvpfmI
EPHBGG/Q3ndjaF8pB8mA+appTgIOggzCnv4RFgDVtyBIZy7GH7Kamm/i+1mDSwO3eKYT4sD5w6Vp
z50K0rJV/sQQJw3jopnaHG/zi9lx3P4DE+iHeibADvv9kPNz/+5KvdiikIN3bGWf7DYdln7WrfMQ
5QPSA+YeJzpG1azrQYZ5vvizcsTzwefH8N3gQrtNUw+SrazB7zZuWFaLcJDiz692767xXBwrvHzw
TC3zlX+oMHNhWw0FGoQF93KRIK3Ie42s1L/+17P0HC05u7TzFbbVg8uYavIVGe78/AaEBxO9sI/S
hH86T3+fMOdes56nZTQ1eCvH8NXWdsrpUfIPs1/mA/P7aRngHIqocaDIqE7Oy5OiQTFKaM1X46qT
WTUHoUxLXaOpyTe/ZmyZ6XLkC2dJ7j9eSn8828Tvhz+bop2nOR3n4ZObwjmYJzpnsCzUUnm3fywg
6MdnBwLWjDgD/U2wtp7tI7APoDRCqvoKu+fKGekFJ2IHicxOucEH0+THIz5uLPLOwbKHV8acSP7+
FWBeWNSw1LWW8luDhaZccjRqHQBQx18ZBnzrfBPXzlN3Q7/44Bl/UKL/eKkY/o37BVsr8DXOLjWc
XLx+rbGWeektJ8dZcdBxwClGyNgHtfoPmC+4bLO7BZZuSKzRLTgbygcjyKdJNccJDstiM9MFA2yK
9M+bjmMknGmQtwppEhzWz7EuZwx5aCZSrKbReZFuvXSLk6yDA/BYqDXCBc/7RY7o7SC4mciUdcZ8
sEXNl/L+hUmAkM7UtgivBjJ73z/UwQq8Fr/G9pE/teCH2PoRFR7cDsq0UR+0iH9cAt6PNT/h79ZQ
akLDuwJjxeBMDGxKPXk9EfXB+e1nVwR7CCCmWAd8NIXfjzIUoqnkGOUrJU+KQLc0IWp2hJOW+2AV
5QeT8ieXBLASRgPR3IHEiO8H6+wh0Z3sIaQdjdseglqzaz8c7SCDr0fwFw7DeBbQ/wO6hM8PWt/v
h4sppw6NsYjOht2zzetQI9NTpfXWXMycnuoQfPAu/HiYmkdEtwd5KZgk5+AzaesoKqlNV1DQb3j8
THK5/dfbz09O+O+HOFs03YYUtttjiNmqr0ThPG58rJnOOkFoAozQPtzLPxzxbNIHRBuqFEYMo6zZ
IqcBkOi0HlblId/aiA5hp49Ovz/ZGd5f5Nnch4G7XVgaQ7qneA06GOj6BU4s/JiDN/QHcHsXM+Hs
vcZzQ7MTlpLRzIR6P1OmKhgmVk50VW0RkAU2D8U0eTMvOTbrj4xcf/LKoWmLUDzQnYFzxmcwllZu
l6Pioas6YhlLdpE3wRDYhlL/q/DvP5guP27xSHhFriN2ACQcIqL+/ZWB0VPbPJhnZBqebKhz4yzf
QFW3bfYdWEPuQyOzaGcv4Jf4D6zn317G/5W/1sdfb2D3H/+On1/qxrRFDmL4+x//41C8tHVXf1P/
Pn/sn3929ldXzau4Ue3rqzo8Ned/+e6D+P9/G3/xpJ7e/bAUqlDm1L+25vq16yv1Ngi+6fyXf/SX
f3t9+19uTfP691+evvJCwLNftcWL+uW3X22//v0XiAVxuJ75Wf/2/SC//cXlE8eH/5M/TbV46n7+
udenTv39FytMPmEzA8UdNQGUQMl8nBxe334V+fOvgA6iAQKvLRwjfvmbqFtF//6L/Ql9bAAWmELY
i7BquzOC2NX9/EvL/+S64PhAVe/AMhT/bfjLP77ku2f2+zP8G3jgx7oQqvv7L+Fbdf37y4EzBADy
EN9vrslm27TzKVTqoquSolx4ksorTf1k4qhIC+bZK8+ndkK2wmqiapKp5E3LU8D3ETJqVDCO8J90
LvkUNl+i2qJfR9XDIWL06gfLkL7I6rp2eTZFRX4tkzJ08R408rNygcZHYVyWq4YX/YpYXXuc0Hrb
E+2gakFfNF7Sri0vdW1P2BxJ3px4b5lTCTXnhT3xGoKikkQHDZfMPbQihZUaZ8Ipt/QUso5UxG+8
fESrE2xB6LwSGA+4NA6KNSHutIHIw75onKBcIxyq7y/GwbEv66b1L2OP+09NTqBSCCyX3VSWCW9d
VjSnuodb/LqtPVR30sP9kbEslmFg3OdOEMhXcz2W14pO8RpFqCsWJpyiZ1IKQJAW0uNSBy6Ca5Jo
CFHbOJGZU5DghTE2QkIjhbeU/RRetEkkTzEbuxax0Bbfsi4cvTTWsPtvkKT4ZFVehxzgoO7vsM8K
OMBV/d6Xkzw6CEDAsb7GsTRtiYFExm31EZiU+VYGnS7SyBbWDlCEs++CqBwQsMKLfRM747LhDjq1
ah7EYx6BBxJHOHfWWJa3Cfs+uZejGT47bS6eRO/BMALzKVj2g/HNEtGltskKFlRre3SDEkledbS2
Sne4MJGEX3Zld99wVWUJOXjr3IJ8PBjcK6t4rFGJPdJJsQ1tHOTiOposu7qOr2sm+j61PVhFpKHf
QhzDdNnjBIj3Bf14But4XDuItVF/Ym0drrDsFw/VWOom9Yep2dvzejjhfPesm7w4mBFOfanb8vjk
eaN/S6zc3Qjam23CW7SQnZI3X3RPy81gszxJ6TQUD33pjbt4EqxMW9310SLuNE2WfJLmkuR1e4II
FQf9JCyeQ6/HRqllD8Yi6Ru4sI4cTqgt5sm6TULBN7zWcBmIR/drlbfuBema6CKPi2HRQsuKHmRT
0W0yhWzVWNIeLxjOV98cp2OP8NmlixyLBJ4fntI2KNuoSgvTB7u2Ykykkd+xE/EjckGDgK2TWsSH
wJLNVudO/RRatIKjQ17nV4Cbpm1pi+4IV07+4Nm8v1a4uwc+1fRrZ4Iic8F5/dI2prnrS8PWqke6
IrGqZ1WxZhUmfbwIqyFIC50PqyoAIu72Rm2nJBEXOQsVUgsoM0dPgfW4kFUhV83omoekCuzTMFne
vh4qyG5ay29eQOKxL6xJW1tKqOelUxt19QIrYhVlSCJ04E0+JuAsY+kS5CKgRSPTIrequ5w7/cmv
k+ab34tyg7gId0hdX4mTo3sb+A6v7WjVk7oNn4pe+9BTIkRvoygnj2YCGzJr3ZEyiPQsz6wTW7Yl
2K05qTZdHyJbKaj9lY7Gnm8nZcyVXaukRT6v523ayOAta4N215XCv1LVkCd3OjK+SmMPvjUZ9d2S
7bzJVDscDIZw5fCxv0edGOi0C1W+b1SdHMuwc1JmAglnpZajokqKAQ4J1FeAcYgbp1bjDVbqeo1+
ShxdPXuadFhofFl8aTkImSn829UyqSrHT2mjOHLdrRBEH+VqaHKCQaA57JEcZ25pe/LVZVwecizl
TurCAyxHTw1r3sLAYvsugVAc1jNYvW/DVonbYoiLbsny0APNMhFO5iDCOA36OLxjSSy3NSmnr1oY
8jUIJPg+fol04W4cEGTv87J30rBxzGcTjArpjqIK+a4JxuRLHxTmpIluhjQfpuQ4CN4uCOQATjrV
NrmJdABbEx7r6IqMkfUyjZptoUUZlqFp5U4ncblxhMk34YDFwiV62qmy9Xel45od3PfoXtKo+dw2
jo/ctLwRV12u+gxb0VClY+mzy6KvxgXzJazYPZmsvGpy7vlQwC4v1JhPLPSnlYkCo1PJqvaRhm6D
wJ+eOf5G8tYH0UQl+sitqo9SrPXWHiks/X3VdhCgVwTwm0tI/KJ5b59ay+02yeiGy9nHHGtBRLsH
HVjdfaBps4+bFnGHg6prAPhQd9+7VtF2C5OMw2rwlD/fsXgTJU0Di3Xqr3UrrRMo2z0MeqY6fAl1
WN9GlZNfiyoJTz7DDpS5qEuu+ykvGmSUus1lBDfAe8Ma914OgXXsarS4vMaBK4dn+JWY8jF1ppJt
p7pNjmPt8yxJtFhDITd+g2eDxARFYHeDjVyLZ2cY2RVjrRgwE3r+OfLElNG2pRufI+4wz+MKBqsS
QdZzXWlRXLE9PBKsBTu3CfwWdnqAgxciwXbdRyb83KjGxCnthYdsWvjSXREzJFdWLty9VdnDtiiU
f9XajYYtA77gc97Y1mEK3HHTjJ2+8nFIhUmYVtV6oD4y6mvp5zuiOchonuKJlaIF5ew8F6l2dHAu
azs3Cw7biUVXGPEyIhm0QQiH6O6LlsRLYsFpo+gTrDuVc1WNNmBvm401zyqWWxukUESPuVe6e493
tciKciAsNTqyr3IYnD6KJFEXYSzUuCBWAMWqk+T2EXtcfaM4SZ7yona3oq+8ndAlO0ZgTl84JCcX
YTGGUFN10JkWEmcebyx8+DFJX24Cbk80xVOKvurYg6DQhPbdpAYDIA006WbhT9awRsFvrahVzQt8
LNvraVLh2hSJfU2BBm5gqFgeSjM02yRoVdb2jvVZuHZ96VlOefJVXe3Bfwuumzy0YXY9umOK3EMl
UosV6guxJAJUsJR3t0xN7QOYIlOTJhU1+1IF/EGarrl2eqdcWSSHbLMCiT/LfWnoAkcmfy0wEb4B
iGuPQxOgGesKuW+hd9h2KvZeByPkuojD+k5ihnx1K1XvEqvk6wnW2HeTjmKVVonk90EZT2rPS0E2
gXRwEgSs4J4AUnVlWktKnTTp8ii1cp5s/Rh8kiygVXhpwVMRvaEBG93JJVxftLmnty5zvaXRJQTF
Y2VHqXEncmtrdLMEWuZe2gTcOrBmqLaez8zSBePBWQT+1F1jVxhEplw4MmCJa+mQVrwg5UL4ykZ5
XBbkUhmQyEGL0MmlGOh0xE5XnhJKRZT2eMXBpIqnRKdk9MKLsHT7S5oE1haxVRJBTkUfoFkoGnEa
1YiIGIuZEUmMjC0mpawgDRIVHTmkl7Bi9VuVykKpC0T24pGIqIfLIZagi1qAkRnUnIC35ar6frSM
uiVxW31LpCjuPDiKO6nNbWeN84DYNBEMmE3ASbS0kC5457c1+iXS8fIUB5moTisfzO4FT/LqrtLY
KJe9kN6VcVn9lViYenVE/cvOYd5pEFSoTOqO4PbYIEtm9ljLJR9g+8Uq1R7C3K03XU1xOuwaGmeW
jGAxSIUNDhPlnvV11PGUp5NwHCj8Gu1fBnFePMZJ15cLeEqWp7qSE46h1fiFwSaKY6oap0zl1DZr
1fCoXLCqon4mK47jLCJR1xYj4bURgfiM6qC7Yn4iVn5RaqQsJwViCVzdximLInLL4OqDgKCyEo/g
l3vIK1KlPpVg134zLPd3sR75ra6mpkgt0KlvsE+hCUnx5KZMJtWwNp4IHkXlwOLVyU38TGvXKbKp
tb1jDjPnmq712IxDn4UdUg77LUKrxzvXuCjWi5iLlwGg3RZkb4pqpWvkBXHNcJU7Xl9mwrH7r4MF
qdBicKHGhxaxqkFP0xpno2oYStRfOcdcJ9zqHmDyhh5XH4UTePic6HARtgGxsmTSzF6GLIg0zMqI
Cy+YqGbqEHnSekZwGl+8lcH/Awv8Mjcu0VD5V6gAOBP/9b/1U/s9KvDPj/0GCkTep2gWw0OF6WPF
hs7gd1Ag/AQeuQ86GQhyM+j+Oyjg2J8wEyBJg8cOrH3m5sZviED4CZUPyvc5cQZJzrMD8J8BBN5h
ZQEQiTcgAIeKOWM39M8ASE9rvxt6BUaKw+QDHWO2m3of586ct8u6Sj5qhZ2Bgb8OCKo+OA0QpYI6
ccbOiHuN6OSIz+m3asuhG1zNejdrnXwmz38lDhNvKViNM7cNruBvGrzvYPeizlVuDbg8jnN54SN7
Or6U7COvx3MMEB0hsL7QycCDevPYfw/L/b+KpOZn8juEAw91YH9ozrgIlMBjw+x5P5xEi0qwBEHy
2J3rzFYtjqzEW343kX9Djr5Hin46iBfNY0GOBdzp/SB/UV72o/pmvpbfhzlX3zA9z74W18Lc1EZA
FCBv5GOgXloQ7F1otJFFlNHqZlzW4EpFWU8O/sremA+ZbOeg8dtN/e6LzL//bqZMQUUpspH5Ug6w
ChdvCWB89qfFeXJBlx+p738iO8WFIzIGHRSYB8Ez8/14bT3GVTjnuKmFs5qdwt6C2I8wxd06SwAY
9oek6B+IWW+X+N2QZ69eCIPOvJ2TR7vlsBxvZVav62xb7KsFXyO5ajEtwz3FfQZIhYD29C/MJ4Ss
oYED0sQP/t7yLwXc/2zSwl0bGy00SPBDPGtu/MXI8B96KPONBDsfpGY4hMJSZV4Pvpsr0qMNC3LU
Q9Qj4yoHogWFk6xh8DgpEDEGljlBHq4TwJ37xk3GjRW2/dJCfJbMgqoVU1qBIn9Ixkl/8NZ++NXO
XlsqQAGilpqfMcj9SI9eQw2Yui8wq/5jXfifj4jOOJYkD1vYuRdc1MpaaAtxwC1yPCdoifPdbX7Q
cHp5rFfJ40eC3p88YghDffguw94FComzez/xPlDKEDAaB+sUFRNEmx8NMUPgZ+trhF0RHjbzXArj
s6VAOZPfexPWJBk9jOaBTD3SbMkCBPwPXok3hdoPI805XbCaRY/xnKrokRL5SpFApGxpdRstfHQ1
mVNtLZRQRaoqoFBZ2Q+9ba2izjXxxjeWeoUJNA1AaZzkBodUcgfr5vLOYSa60kEfgYSMBvFj3HXV
bczK7gTYW6DI57q7SCAEfDVRVclFMNrRLWXJ4CHDwkZVnxiT39q2RY+mynOTMrcbnEUHKMrLSkWh
4+smLm+paQyO8wMs01N88/IkRFwWqFIZ3MbsEIZjklgPOad9nUWigoCXtoTeotpkLkKIChj4jTYq
xnQcRxB7RgdthZiBhKvcBoWe05T4iCcJgOCKJmpIy76FCNQujAWApCCKZuij5Ogz5ER/ARaNcAJu
W+pxBuC+dTVgag5nwpWJC1QZaF3zo5eQZg+wFOhvZwAUhE3u3Qp4Ij02kZA7JoJuqeq+Wsyo/7Xs
3Ooh4WV5NDjRL4nrwaO8CJsFqJH+owLT7XasBNuWQ8W3AjHAOhXwXUKBXFiX0RDEy6RB1Z1ynw5I
e43MwBdYMRIvhW6k/2r5IMWlps4twJ4srJ4m1+2ww9RQ42M39CDM7+rksYl53KVGxd3B1SAuG2SA
wYmABf6N3fv9Bq+Af60Yqx4D6LB2gRr1U9fk+SLAvL6qpslse23DU8BV0XSH7kydjV4XIjKiGAQs
r+e0DRWM3ZDCrgl3PG46a8xQX7hfI0uBPch6pLkmwM3ytI49cUoAAnyWqpPdwlM12EtK5T5MA6UF
xp1BI8Qe4kpeOqYJ3UUU5PYNIXK4siQgpYyGHtzl6z6YhiP0Tc631pEWPAbjHlvsUIfRKZokHLBE
UtDU7314cgU56bOyKry72GqDJ2FYESGdpnVFmjtxj3wI7GQ3kAWKr4MTk4cJIrI111Nw60zaPEK2
GHxjgSvuqCsDkSruE8RSF96utuMRLoCokK7DuBvtbFAWzSGVM7Jb5UC+jxFS4MAn8MP23mtE89QQ
Dqe3wYI2BxbpZIsujX0wge5eZRTpi1i1XpBK1cgo8yYnXtX9aK3i0SlS6g7B2mC8tcBp/qicIjyw
fETGsZfAFhB+nss2HoNt0WBusl51KkW4+pT5tGpnXUSVBcbP77C8tifimHoTokLfJZMdLxJrgN8n
59OqLsIgK/HOL+OSVc9uwhFJG5cgBnZ1vO/DGu0fGbRHwhAFQZ1Jrlhli5u8CJOVZfewvShBHMkA
SA5HYuyhyEqtmElR/MNFpKbOLQf8fJhAlUshdnLQBSRiOcUopGGsTjawwvNWw4BWBRVsXOQGvOVM
eSxfBZ2MU9upyqM1EX8PNrOK1klf+gegK/x6ijU62QqnuzIo6W1N2u6atd6boLDOVB4jgT3vo8tS
jmxlSgm7v8mqF6BEW2kDOh2yH/zQgc53GNzykoUdIgK5KdHEsW0uX1wlJ4J5pHSfBhFlhz6p+CFm
VrAYnUjtHOF1ybrHs16UFQDVVPWAqktB460kRfVYAZD/FmseKNTgJfxV2NAvNdppPBtymr/4ohAP
JY2LrTe0/T0qDCuDraZ/KrzEPVqhUXsiXe+iUFWyC6mCmV/pEy8lEMKtIwIBmmaj/6wiq71wXA06
y9BM/mdRmfELoXm/Q+doeAXq4SyRWAk0LWxcvJcNu+R27W+6LrDXHgyNSvTNDPoDUcclYHoTkGev
7asbgqUJIAxQjsuehmoZmCkEXYYbeHz4mrQvBiG7GwQkkJXwFBbuOInXVDPVpramjKbO0E1filgI
xEJFBaTxZR8epKucl1YRuufKNXvIYoolqg/xWBfuuIgTVb3EfUH2Q+dabOP0DQyGqTHlA/UcAJ15
UjWv4STLqzY2DNF3bYvGgFOWbVarSi07zhu+KPqp+0YG5Q/AGW35HNTRmOWJ1y8Jmmhg/uT5Pu9z
51gVzD45VjuA4gEA8tDSMroamV1ftHber/LCIWmXu9pNHTFOW69jILJ1pK/RWClr4NTaeCm6V3j9
2lxjb5FoomXlOPFL0XJ5qqyGrXuA6MD0Ek3EYjRFcwwBTmUtccYLF7GMG276Hs5gPvcyUdbhQfiO
dY0zPxrg1HFvdTLQ9TgJcj/YAN6RUoWcxqYYGivTjCdXUIHBCEVI9tWBIOq6D0lyKyEo2o3w2a1T
G02prVtFbp8Onc/rTE4h3Q/YdeEOPxBgc0QPuMdVFX6O2NShI8787jVpkpUDOuiWogcG1VPpY70A
NscvOyQeZsh2db4WtReHWE65tcRTt2587NcsE7Zb0rTjTT83qyuFwhkHV3jhQ5J9xL11rnNMh9tc
BebU2DaYeb7yDzW14j11VPfiRv0dYZhmK0zych8WfYiVu0PXAnGEfEfdXr9W8N9YOqFlDpPddZdA
ncvbtqxhWdzRAubzbeHftVjs4frbQr+FYKXiCZu/viw67j7JVtrlVrshl1tEHXhXceHxp36I0Pm1
o420A74rPLu/ZENdrbBz+J/d+iMPwJ+VrlGA+huJPsDYwfF5XwXkgB7N1KCCmwlplc66yy9xm/rw
PRD7Eh2lTG7dBZTJUZ35+93H2Ma5eAGrCM7BEJpCVonz47lfJ7p19uQbVCFhj2aPVk9IARWZ3Xg3
HQisqe6jA/o0Ag1N2Pm/nVz/B/QD6IfbmeBR/vdUoOy//k/7tX6G7OVXdtFMIfrnx/4B+vmfgDuB
55Mg5hfEne+ZQOEniDnxgZl2FAFjxHP9jQmUfPKRO4uyFTwy6OngdfhP1C/6BHHum/tDCMAQ1j/J
n0H95irw97oDIFwEUzbQXuEpAZtMYEnvp+4QjVjcOOTR8ZiiDw6W7xSl6OFYH/BR3y7mx5GAUXqQ
sMJl61xsbsMyRMUCGXM4v6rrHBwMtiYAtkFxaKfxVoiw3thJU68qFAsHm1F1wLE5dlKCnNgtVMvT
na2a4Rard3/wiXAOQd/QGy/J4bGEdc++USy0tuVEoA7gVcyvLZFYkO/1U1oS2rvgqIRsK6gMN6wq
hsy3lD5Qp41eRt5aD56gxUvfNf6a9KQEZz20KsTc443PU844HEzs0n0GOwX+7bnJDT7f+PemyOWr
PUUcrU2D+qCwHZz1x7HrLrpBlnLVT2ASVEHrvaJT1ZtVE+XKTr2KWGZbtzgqp0Xr1sW2M1DKZWEZ
RCDzFXFzShz0gEEXmvcIPW8X+dD7S5yuug2DE+cdNa73JaGJuSiJdqEMd3IoyxOVg7BtctjlamED
JPO8NfgaA7ptSCxAC6hb6sIaF91giR1aS93RssBjSGsTtWHmJ7LVS4T6jnRjS7fO2iYskUCqZQ3+
JK+BiHnxEGPfrQQgVHfCHXSHUMNOP9DBKQkamqGADY9WF4THqWvKR+ZM3s7OQ7IaIWm/LfIY9B7I
3GAwEDp5TjLL6ThOt+iq70HfH05NHrQ6TUhQbKhwy93EqiTOeKW4QdtP83uhhv5LhMDKayZB50nr
IIhZGkCIshCz12uFHjLEIq0aLyO0nG77cfRuc691VgiNkBJMlKg5hH0BrxgWJfwGqZTJvoHlytFC
a+WKRuHopJFhxoMrr542cJGVF55N4PmZxx276uF/d+tUkdw6YJKDLB4ytRUDg2w0GMuJp5jT3h7s
jfozOANz865j20Kz/KLLfcyTnkcRANsQSGesbdjEgP8noU3E+RVC6OGSBnyLPpa7Rw8S2lAP/Ldx
jN0vhHjQbIGzC81f0Og9iHDeF1eICqfrWdRaE7dMSZGUN36RWLi4uogp2kVOZ6Hy8BOdhVXCDiPD
aaxBunGYxspzNYqPDo+oiComUSiMfZuBDkXc1RQ3YZNikWqKbcm0E+8EfTvQJ60wy0igObaSUpT3
kypylta5X1wz14K+lFddfk995l5YsZxeJHVypGgPXY4G1QgsLKuxciwngib6MoGPTr9yCY4jpAmL
2xGkJ3flNI17HFGHfXZJZVAwCogF4YFgiTprionf2x2L+aqbKGkwv632s2vG+m6YWv3cgV75ZIGe
cOpHaUTmeNSlYCa57gVI3OCGxIWoEbCr7F7sCCgjXWYi1BVeYYdluPjz++P/nyzYmeT+3299/wk6
bS374t3e9yt9dv7gPzY/7xOcEmCE7wIlnV1oADT/gwYbfXJg04mmF5oxsCD5ruMVf3rLZQRVHAqX
35phv7W8gk/zruzOgByoS6DSBH9m83t/bsKygPQB6GnxBTA+vgi++PfobcKNVw5TzRBeobfdWm2G
lb+qdh8FyMDE8d0uOx8MoQ9EzkEIKfIsITiDKkGd6J266d0FaLScXHQ4AueZNEYh3mlIwIuzjZtn
bZn3hxFq0EXg6PiApn+wj0U8bDrC2OsUD82u0DrgwJQpeWW13WblNMJVBFyH4LMgMsS62VvALkYt
G5zVfZCw8qndyzHUS1sBvhvcInpug8m7oyXoXWPQWRsnrsOdbPzyOrB1vBS0gjalJeMlLcf8iM0C
XDNZ2MVDa8OvKEWHqLlztQIGAOMnaa9ISNujlwf1hYZTxL6eSjBakMSMxQd7QVBlZogRIgjwrsPO
2FvwV1JFt6lA6rBXtREx+BGuJhY6jZp9A6SLfatD5DGCEcIy2ZKCcJDmSDQhpqpCKLsgb6tuaQAJ
hpVbXQIJUl3m28VwL0AGQWioDcOorHdQpiLWUDMETAB28gCz11G4AMEqbHeMV2BiYJ3rBoBUPTuo
Yhw2THsE4ngFj/ZlGWr+WGsl7inpcxANqdWlcI1sX1AGlM/ISBZAYwNImGWWezNM6yMsEZhQ7az7
KVq4VSMedVEAfG9lf+nCgXLndu3Cl74a02QuVEKwPQAyJSTfom8ZLmI6OYsSTvh0zebyhhVDsO8b
p2g2QA+re/VWE3VzeTQKi93qpugugUN2F7kMyBJIK3ybVdXtBtsS1+HsNQ9SYFHurbcqbOriS4KG
4ddmLtHUXKw5PACtay7ghkiwWzMXdUZP5KhQ8IyLweaNSaOBUB+WXz55xmJaXzGoc761Y1U9dTx3
J5wyUELGbdLCB7AzBxix5XBfSJSpwFFD4dnQBvbu8VtJirCY/8veeWxXbqxn+4qghRymCDsyhyab
Eyyy2Y1QCIVCxt34WnxjfnZLOpJ87PP/GtrLI43YFPcGqr7vjelDNl0+XyvTGbA2S9stP3dYNLD5
efm52Vo/t1zjsvCuP3ffNeuy03RZiN1pSO/qRuU/TCQSN5QyuQDJnSidaGW2KI7y51TltVO6Hruf
05Zdev26qy9DmJmTZeLpCg06qjTt2m23aUuKy+jWGxW3czfP8ns2+9ZLOfC4R/Zl4CMFzvgYK03b
ZbVlfB3LAGX3qDeMiVbTuke62Za3QQXpK3JZ95t1mSw1gxu3vkybAfjGcUoF4sJONf3eKiYnrJdV
ntN0wnvNXLf9KM3VfuzmziEMNUubu4GxnEdDjtfbZeoNvGZ7xnoVHA0r9WDlhdVfL1pA7PtsyWet
Htg7s/4CUlSz3T/Yv15mmyj6r1oKxBFmVrqdAYlckMQC+CcQTnF0HKXC0SiraADGfB9RecY0t3d7
/+dNaW6C63wg64SDaiq2BuiFexWWhxG2G/Ud0pouMrNMJlqqIXssA+Ukw2IGx4EUrcjf5nY/6EYW
NXkgitBt2uZZLIp/rjJldrc1i3HYkOQ/oBv9nDaD3GQxl11oN6V2qnQ1nXjn9Xg0+4p+L2qVzotr
L8yxPeAnUpyE73ONxgANtk+abLRozrpjGAeJdzSQMDs1zHCY8jWq1llEXSoBCZUKQj1oQUEqf87f
AUSW8+h76hV1pHlrrcXLYpV3KUnOSZ0xmKIuv4wu6ucYU+bu9q24zDaCdqDHqTRdunIusw+nGmPQ
mrnli/9zOPIyx2gjVJhWrHAoxJVpZRJ94WWUqpTnvjlFrw03ZrMxP1azAJzse0DEmbsqUvWwINwW
6XnTfOPJROhf3m0jg99JVqlxY7HQBzsfke3R9bLpILOuv5k3AlOHwp13k++lxkEDtG9C2SyBSzYn
4Wwin2TiWiuaXZTuZy2rSGfMHO9NLfq9maXka4psC8sMD8g6meI1Q2PwI59b8gGcQYsV+2SoaeW9
o23rVWHUTx0W+LO2ieGJ3G0jmVO/PKN0SyMrE8VRG906TrfV37cmsOfqKnsHcA7dtO1mxVFbudb7
Ws7mjrwztHiFb+zGwSLtYezvbB7McHGIvi/NG/KPdqK1ktbTSWfvnU/U6ScuwvdJaW81HYLhsKjT
lld6Urrti6rLW2k0beL7xUo+o8KTIFCzmOBkITcC6FOz6vuyQRpma3mxV3BM9MJq/m3pp2/jVPBe
ouALPe0SSKTNxzGfb92yos4OpWQ0j06Z+J3Ln1BsXXBYySiUcFMzLxZHN8da4+623DE/eeaHmGDP
6mrOicx2hMU7mwNbarkEkmlrJxRUO7pVewXdcfC36dESGP7wviiTV2rU0FkvNiEpHU/wUGhnM+2f
LTnYEc8rsgg80YmrDSJCZcDpx00XGmnKUyTtcHG1u2DYXthFg3BakL1Z9RLa5vCqKe22FMMQSm/x
Ae5kGgL37csCwW9RDTcjEkZXpPVuXpZbIxg/2kkdGy+98fL6vlzMxDCdfbau5ObanGaNnMLaM/rL
lX80RvND08zz1OMa2Vzt3Qj8N6Mwt2NZlG2stOmkWgHF4F3hhr0eMv245f7LMq/JiO6wr8yDUVSx
MvujnW/7ZkPja+oN+5I6bH1LmgWvdeR58/Vqcw1k/anelmv2l/vece6B4+49LXvOvI7wh+rUNg6K
vLkMRb3edqZo9mj/Nuz96oe5ZGMUWNMXZ1niQPnXHmBkL4fvrWdH9dS8KD+/tzoPg0mjHe1qDDVD
u82s6lPyRmiLRTBJv3Pm7iCy4uLKKCPMo3HZ1kRVmnnUO9mVXvIZLc1uSodkW6yjSVoDl8rdbNqP
VeFwujiQPZtwEchrN5iQbzB+H+0FcbCbN0fIpLg0l/c+3x5EqpOgo7OI1h5m1664KgLn3CrvpbB8
CgMV3G2HZUKOAPf+kkUB7/EhIyDnFoHJGqZibTkNfCvsU2Huh1Q/YsmxI5E7iEK3UX7ZJgtjTIsP
SSovsjv5zKd665fTacRAPPjLgbHzHEzQCV26nGAtaXaRZ+F3iY2hAPzepzS9415cVi533uSXGqnU
ReVK/2Rms62rnO2Ww9xp3/ti3g/B/GxUzr62uo9qJYYITSvupm8Ewzg8qNWTKFWiNjtRi7yFE7rF
YgLE3i/xZJElq5VX0qTvRC/GK7wj2Mu6OoZ71ULdCfAnmHmKgpc7d0ZGXLvFvpq6W6FYux3ktA+Q
rd/bKbvAXy2d75MR40w7aoOso8V3P5Y+/RiEs+uy/AmK6J1Qle7Mw5+FQl+OWj5fa5v7WA6Q8pdN
c9lKmQQw73GtlhNmaHHU4JfAvINGO2QV6lg3KLq7srate0i+jQdCFlHaXsZXdzNeNyS5j9pS6GfZ
mh1MPehxi2Qw7HxSTzMizOO0qaxPWheqCKFwfmPWbkakNNrWzLSfRCWyWIxVF07WLNBIbdnwkhUZ
b26/QabD0TIKT6+zEISRVf5X0Bg018ZinyyPgMTMdyRUs04L92rOJTeWM5e36zRKyj17f3JxrLhL
FxGp5+9Y68V8cPxuDmW3GddjNvZWyxOYu5wOmgi2JDcIPpe0iqytG0Mb751OvZFF+WWbJzscdO92
0/gwmfno1auc2zQNPhEYPxqa12N3aqzrzCEmZ7HIreL7bENvuii6i/UZq+DKr53uLcCcUQ6hLoPq
ttdyqtKL+lyinY5yb+B5GxTjxKiBVmlAa4Gc9x2GmND0xDGbh2ub/9qtxWGa2rcdE0c46/qXBj4d
jIYAGasjrjDnYj5YIt3CWllvyLjQK3iGEYkyr86UdBWxoxVlVGn+Fmq0gIcz3+5O+BbWIR0nX+cU
L64onwAweNWzoAmrUmde8ybzvW+HhirDaiyS1t/kkcTbdq+vpX8cOwxc0q9qfuOW66Ez4ad6bDbH
u3GlS5Wbr1koBQaV+L3yHhYb0HHse7FrZkAc21ENjeoyYKmdalq0BCd4CF5YkwDgOjuTMqgo7Tnh
bQwfe1mP4t5hhv+uNc58l3Wmh2/H0c1HZlKVyDSoY9G5rBJru/0ce7vbnK3sEFh9jgmQwz+sTUwu
ZtWqPYKVZo+jpHob5sbceeZ6UX4Dv8H0E5u4ck/e+XamksEanDQU5YLwbZjrb1IrrOu8GK0zRE+z
D2gDviuUlFc1zxGNOyNGUMWe82FI2/qxjv1WRX5rcgwVWXEkCqHFx7EGbUyFz3QjtsGMjXTu92Zn
deeBDSMq5dp9m5rOPXvVyPaVLRcL88yp0xT6bka6e2VTw5PgDhOvnFJ0+Fop1oglGIiGr+HQ0R5g
gNHGYt+6G81oc0Zf2aKGK72aVrrLvV4cncYT32yrLAim7XzSmo1t2PfDPLfhqkZFxaHRy8fZHv0b
31sxjAuuKcw72nY0jQyxPHaa6r6yxaOZiordpd8wlsnxpMxt3KNYKamf2+SOMCmRkmRYy301kCq8
5wFv0Hos5nSYyfD6LNKSw8U3r21HfnRjySLqS4xgiE2OamnNc4atJFGWZd63Xs91pKneLw99aW4M
SnPrfGarms/N6AbYtGz5Xs8XHnwy3DG/BmSdHxq0bjvPwpwajbDFH1Vde+84Jfwbo0V4gDp/QGer
Q3GHlua1SdYZ+hsAvfo6KlvGtKF5HUv91h/RKmg7cryHa18u3TXnpxKc/fVSwGGVyw0Ucb+D1h5e
58qrD8rOxa6rOXPzi5ExTgNTv5vmpblKDZtAJNdPBQksEscM68Y8dbFWefaHDjt2IJ7Cr+JCuJR7
L8VqxtvGYWDOUn+BTQZcXTvv0Pi5fs/Zanzq/D/fsKJnR6GYD7iuLRVbgmTXnCT/vW2sw1tTeMDw
aWCjilqL3H4ZTXN4+RPIdvcrMfNnLe5fESuAJMTZlusGqCYdmIf/3JpZsG0EWPguiBVhUwctGXfz
1f9H3eo/a+vIoSenCEKROY5su78iYyP+6nLJbPKvifnfNW1p7oVhC1L3+zJSMDgRdPeG/kP/sjZZ
ytgPqi/sJo9oLl0iPuF6P9Ix/Cvb+JfggT//+X9lq37++Zjf8SchuwRI8y//23+SW2ITWmwQsDJx
WeZfggzX7kagbJhJDVp+cwZkBFl5V/Ek7P/1B3/Ri/7Bk/32m4nSRuB9MeH/FLP/6Td7moSy7hgU
GPMhoYFV8utl+X/8EuOiu/2n32LrHFOmZ6Jp/E+q1VkVCwN6LhJ9754Qilax2I872rvHRO1/i2L+
P+r2txiHSxDjvwCw1fv47b9Ary8/9UeIA5Z2G5iYMA/o2EtCwu/otfkLyVqYOPBjEJ9w+aJ+Y26B
tXUbNh7q1kQyCub9D+bW/UUH0Sbn0ESq72Mosf4OeG3+jM/842mBu2Vwt/CFoMun3ZCA4L++DZOJ
0WSdWagMGwQ4sbfcs4+znbWwNmz8vXazsDfW6bFumFZXaY/nzLFnmQjPIolhaL1tC4NJt6LVRkQV
NVXrfJUyqK+bxbFi5ELrYS4686HhpY463khUbQQWlZ2zHGheXcOqS4NzIC3rUwqz/qFpc39KW1+P
qqGnNgPne0RYUxGVJnU/WJVVmmTbVlpESbj65+AOoJ2N031ufVPdFFNqHzc895jQSqN4DkzRvTfd
HFyntK9fI8Ru8eWl40evwd4usmTTgKrci9VkQ147sG1MqE11GAm0OJiZ0e9TE92IoEHgyZhceZvn
QXZVLMYYbRfrfNqv4nsj3fR2mdx6CNeqSW+WLEOgUbhs4i2U3VTl/WnNSn0XiM5DENdmHUkY27Dd
rdjPbzbVuHFVtY+qDtDXDlN/nMFR7k2YPZy05ljuwMidF7MyLnzvpH/3+htz2CP7LPfAlfRMFQ6C
Whhaw1i2j5VM6xh55ormCgacMVbGSMA0XHKVicDP7M/elKlXU+hUNY/2wiXcj9mtZ/vLuTFy7Z19
LEtsom6PQauV76vXZk6EMQ//AjEX58UfdObLYXS/drBnX2o8n/QLdirzGMQxBTM8zG5WXjxn2K4b
vwGXSYeZHG3fa9092lbzxiJJ4rVbjAyh5qaNT8GKgZox3qFCp9Ka0gsbUOhja27QvHWWGslQVNrJ
F62HllcMB+xx09FRwtq1xgQ2DPAGRMqqrKFLHGUVkngdvBSMlefBHJEE16Il7dBAFftcY1r9DmSp
aZGyERLuJpk6VqJ7s7rorDoNYZFSdxolXz2rrepYLkse3ov+sLshk0K/bdccnVRrV295u9THbmqz
JEtXaJDMTuOOt/vGHqWKUozqceAI+2UwJgtsTK8TvZmGfRB01g6GvIJ3zwvAsWHO77eqca6MrZ7A
ZJ089jLTTqpy9eEdAuf7ojSxho1XriSJ5NZdihxizxhhHUZw5qS0mZOzrJoIJ4HZ3NysSQa3niJs
wOO+WPSOXWRdu51HvN9+K/PtGuPI4nLrKhoajYBqSr6PnZ/nrhvmJe+fMK3hXpBQGZuGUTysSE5O
k+YaOx+g4t0xV2DoYiznG7BQN9JyX+qgSXXxdehs+Zj33QicY/YYB4Q77lQlpwMJG9tVr9f9g78x
DCHKT/c+jvmdMJ0avmcK+t0a5PKby/q505rG3FdBA2mD1s1ewtzW+yRzxPCFKU/dWHIZ95x7456b
d91Zxprt+mLDFYxT+BxYih2YhwmBF9/+VVdqlDVq7EvhlFtB3GObLIDHtmY/tUJHCdrw+VtVcXFy
m1msL6I5ZbJbdnXfWw9GKoy7tnP7786gAD6sPN+bud58eKNQj1VTtHFbecM9AXHOY1E78zufoX1K
O1j0aB09Qha01N31y1TfDk4zvkC6O1HQEMQhhK4nzibZYtspMJ4aWQS7al7Gq9qUfKFNrn1oOZhf
iDIS6KHOfOPQd6Ro9MMoXq3SmxAwGJ1Z7LdVo/OhmD3tt+Hib133/9OYaByU5s8MpH9xjw/Vv/8b
ZPS39q8qrN9+8HciGhWWifKIqrvAM7kx0XX9fpU7v3Bdw2b9yidzmf/jLjcMLnO8lQGU88XPYsPb
/kZE48qkCkT34HqJ5g+IQ/8b1sv/QhzlIhw0HTyhBvVMhCD+9SrXGtQRjRmUiWlpICPElvsPTWuL
BoqipCpsyhv/Tpv8YqeVG0GeUp9CcpVz9PStFRoBeb795Nw59QLNUJQ+yyHy+Hk21tjuSb2GbHKe
C6Fomi6puAq9ssufRp38C8JCoE387avdNw5BReaT3o3D3rHBpMgqAtR05J1ZLYQIqS2IN9OYbgJ4
yDAfluVm0Kr0ZC4auU7GoJ5yZ0xDtyVcBbnOu2s109Eq9f5yvKtd7jldVHbr48V6vdsuvK+NiCmR
eVDeLXmg+Met4JRuM9iPVokflj5MUG/Y8wtCpoABVnkqu6nhIphkg0xeS4f9zKtOw42ByssnwSKv
/AHSINV3rix3yEoTX1llmKNHSqQ0MngGI8JGQLDjOs67bmnKczU38pBK+61YcuLhMus968QaG+hy
d/gAIczcYAvN1RrCwgCCY9kBjClL4yTG5YmVMn9YFtXdNdlqnYtsdVDQ10skm34lREg/tqP+iupf
x05nFoQm9VXY2taXQTlvfRGkh97Cfm567WPd+sZbbkp1amvdRFatmHicbj603npcy/I+gMm/pWrn
3c+G44AQe576JalnsZ7KomCCuyDPHat54gw1CQpyuoQrcL0Hw7Tsh2z8GIbqftGMlgu5v0ExNMWo
3J+MQFmxbln3/TwP8TyRY9Xmw6MDB5GmeG62dPFjqMskndtTGaRfvBbu3tjMK1/lH9Ju9BiX/UMl
UE4F80gIQNkQQicc7eRq5A94dvq2YUQgaKqcd9bi3oxVc23/DPlygTJnrVixukOepCNuoU6gdq7y
4lNMA83vvXs9FcOey/FTTnxzzaB2heFf4+G4z73yA9Ea+unslANv9QGygcy9bjfiWXjpEOPqct4N
PVXGEBVWbOGBD83s7D+XDj4SEYDblRp5DsgCVPjTlrAu5iHHzr9zEOgfclGn+8J079d1HKD4MaPw
KjPYzg3ZVIK0PdkkrczmSJZLsmZ48W17OBKANSYe91jcrLb2UGumiwSCDisNxvhlqqU4aH053mNJ
kVfzxQkzVl76oWuisvaTNw27n9vN/+rjnxWHxeq/P/uj9+rzr0F8v/7EH4e+a7K+/flk/+PQRzN9
kePg1jZpzWQT/22Bc9DrMnNQIsPB7mJ7Zq367dC3ceJzSAceub8Uzv3NBY6f+su6f9Ef0WiGl4Lf
hZqJ1sa/nvoFx4Rp15qOVStNo8WbnyELxpMUmjymBk0rI34BzZm+bUhxaKwoVFL1lh+bWg/F5dX5
7ehm6cEv7M9maczj6NvdbrBrO7ELebNONdyHo5VR7pfOrtWUn6AsPW9Z3hzEpLbdkgkjmqZ0DPN8
3XDLsWdg5BGRuYrpRJTMvajM66zpvafVtL813jSHmzdte7U0fcTW9QOkhekq/SCEbL1ttVSEqJqb
PfMjPij0r7t17t/kQL+US/oW+oFNL+GbVveSbjd+lRakqbL8hyGrn9N5PtGWdJ6t7MVunBPi7JtG
l1ui92t29KdpuxybV1levHFXHvy8fBysaTdMFNPInja4enA+Wmse4bbl02ron0ZX4Hn1g7epI9kv
bbJj0VT7ZbLumeuf+Bs4dldxYHZfo0GtZAIoUws1X3WHpalpMxbtQ4aPAtCabu4B0nDrhmFX1JLs
QucWcdO97UyU5ApOpym4RxT7hd+ym2f3AGVSJe4wxO4iBrhe85NoRS/qyvm7Pm75kWyOo7nWK6zw
7MVCVHizhNQJQTRcpsqNKgnfJ8NOZXHrtyPJYP6XcsGdWVCEFi7mxi3nN/Avlv1mLfOTnQ4Hyore
pYlxCNUNCK0jo5SghwS9tYrGrLtbGDJI2CLXJC/e69xxDr7XnHAFUJgtss/CHL+macoWnbZnkpLv
SLu6dQvxqEBAHVvoB29pbw0vv609kgPhmEW1QBp1NbuQHvCYaW9+QEeF0b5mQr9eKk7UbnX41qfK
vtH0vnk0m1Re6yn/Vq/ma2+2TqSxNInXEvpYMj+Pw4zLP0gDghNnI/F84moMvXjR0bElYzm9o+W4
FHkZ9T3BfE+6oQ2Rjeggrlr3pSuhZLyJwviV3CeHZLj3scm3BE1OhrR68742RTHt5GibUF1pc4ar
MeMUziRGMY3xfeL+subAJTt0ba961xhjRIo5PlVnjU04vmMZSPvgKOgka86tk/Lx6Dk1GIDNJnXh
vjbKZHMz6YzajtwUdkJTHkliHUscgpU0KZAzRZVbzUkVILPKy+YNq+o7rtrHrM1hZhEYRcx8lDIH
OZy8VV64XBR6jdJVUrftA1Iol4uKp9od7u2OiQ8loLWz+gz5BT4ViFHumkLrHDy7gRmpi/rPT5Gi
lLLf4mnWEWkH4B2W5pwnW78mbYn+9yZ4KNxGXIHsy3hiBw0xtXw2LsFYo867gQobIs3pqi9tNWU7
qxTv6yLQlAeBHsJH8nuzQostKJO4uGgTaQdwIxQupNxLUR1ovMAkOjQ2n1cZXF7/Nd5SBlJHBMTf
OZUTeZs1nxCPkCXajc9Oy0QzrUOsT/p8sLONlDfix4ISz1a61ddOJk71OKNHGVI+IyP78FZ1Jmru
mOYameH6I2qTpxzZfVg165dJB8hwFU9JnqPPmCyyi7ziNHntPVPYQzrpJI4OJGbaoiYCr6BqsKYM
MLTrlEhDr3u33SGI0EAaZ9Ev76PnHDO9GmKrHtywH4wVEUL7gAMNmZFRzvf4My3OtouNoSVHXExB
uyuKxYpyYSTBvNyP4zg/E8HKyV959AzpThmtUk7JEszAJGpGmOfmDHWrxwlkBUwnRgOnLvuer19c
a4VJEYNHctDlibeXxDX6BN7NSJROrxxKhc9gsDHJmv1LaultqCrrB7L1MxbDF2JSSQLYXvICoYsa
3Dur81VsXvhJVfUrMn+xRVihYbp7qJQV9Z2m8nip1ddA6dHimI+4c4njcq3bYVKXTCPtUAzTl9Fp
jqLpn1W3EDSgIPHr2f2RDZehXg17NW0xIsc6aUpdxszpkH/63GENb9Y7XV+IfymZ+VpPPJaYnZBA
5Oi+ZfuIwRVYa5hwci/Ta004MdZzzUkMOc28FtMUp0rdKD1fQsKtxgTA67ULbCSisyh2RufceShy
FiWB1nVREV3HLempqzyQH6tb3+u1cYVh9K5xzRGANH1yJIFTjUZMbD+78EfVizVnCFs7H62efNAu
JljO05nrg8ndq5xdyQF+pMkHF0ZhyyOtg0Zcb+bjoM/OYS55OUajeNON8k5DObXLKue5SUnvQmfl
hqk3Y3fV5IuhTHMHIclD7lRTaOIuiBnkr7R6fbG2TEWFtmGoM3oS4qSvERXolbttmJ426dCvYvC6
bs0TbK79AtLS71xgynC9KDJF3nBa2+udmijRZJ1jOSgmLdly66EQGqm/etXuAzXuFmIVDmYlDoR4
otb3ly3SNUwVM2DTTiB2ZkJoqT0gUiee7OK741pXU+PuJx0d1ipywjV15Kx2aZnoITZ3l9abjCFz
iXX0aoQYhJxCLk8WzUztK/wcblUlXwnp03G2z1/VRVrB2Dxf4zREsrJuH12f3m0DUgwiyWTlXhEI
y9iSjV/8oTlpM5dMEQSPriaOvoNpvHbEN29LHT7X7WubVkFUOQ1W8QAjS76OsPwtxmpPAHo6BrQV
A3getVb2gwPUPvBDL0SsIb4wiNzzjPIpILY8JLX3+9pw5c2LfMfui8HSnz+1oRuBQd0I7d5Ccmr7
3e3mYY+ODvtxURT7xW+vQMHvND//rhq1XJLYHrtW+xBTM5A7liO5yUw/LnDMk3M5vOSQwSH6ySnu
xHiJVVvxgAdmC8OZ3Vp61+LkqESyzYhFJwnEinH4Zh42IPa5lh/uYh8Ml8ez8VQWjmt3Dfp9aV6j
MrDXyiZBG/iSTWomDhUGrUaox5Y8f866MR68YX60ZK9jcpJFImfOHoO1MiSw9a1ycCDpIz7Qecwx
huLeZWsjF0DgL4u8ypU76PNDboIwECuMOnO0+71epWQI1ut5yWSZMLqt4HNlsq68fF7/Rc7rIesI
oZvW1xzkswwmDWi+o6fuEnFmtfLOnzF/dB1sRWFVWZKigrzA4zd2mz9qW30qZ8xIjbAeqpTIQOmw
dgZL/VrA8seGjyAqXadv1Huz+NkAJ8tQtvsRoX1CnCXf0aVaYiyIsJXz1bQVONEZvU7paOYHYXBA
WSXabmV6W9RuaRaRc/Jq1hogSlH4PD3pTUMroqVmPmIEYGu6dVHKgk7a5LB3Vy4prf9acE77sjql
LoNQyjclZc8tvo5fLOiITtVX9Zr+GPTqmUr6H8FmyWuvyD6ry+GL9faBAGsZuWtbxMIQzwu+p0RP
NYOQgMsNioI8yZThhGZH2xpRG1s8o5kJSdalEXrbSBVGg+t0zre8sq/hpuwQwoZtduxORVYfHBIq
eLqHALQn/dGjft+NXdAlKW/xQeVyud6CZUeGKuGf/avXqjekrkFUW9WXsdUOjINxo7ZH5MrxWm4P
mU0q3RJcGXJ96Ek+CKn9PMx5EPAppu+qEPdzDkpLwONb4C9+WElt2k22Ob25eeUlDkNJvALnR5YW
PHNdP6Wq2kFuXGFpuiu15drJWdpX/9sGFh9XmHYaQz1OAO91u32l2OxcLA0CKXrQo2ZZLm4y86ZD
+JjZUoUmT3HsmsuPRZBhPY/TmXQAZksK4kg25f5fuitJgwVB4D+WKjMiklHel4KRdJn5TNeKgbAb
hR62sqJ6zVL6ni6FlrrBJbjJzJxToapPJo2dlIcMza612/boEAeAmLHUb1ZRPzvS/a5l4kc7WHrc
YT9AU0uYAAlR2pm8hB86Jq1otNHS/e8HAX4zFbEb//dAAPbE92///m9/RoD/+LHf0QDjF+h7+FhS
4GzT8C/Qwu9ogP2LS0Y/Xci2Q3Q3wVT/QAO8X4B9SXTFvoRZCGz2Dzr38kOs8NQaBpZOaYz/t7xI
tv3PaAD/BEAzYgMP4MMDh/6zuAHiXyObtBxhwMzpVWlDcKVlmv7FAVIM4gGB4KkaGJqcaSt7DoWW
+NF6GA3avkrM+lvGukIOsmdRdoZCn9SQ2bhXw/RMNZqaIkcTDvuVh6x8JEM7C12v7vYLAAhREIZf
f6MJur8aKmvyd8xT+X7LFl0nWTidg9gxVRZccZlVX5HPyG4/FHgi9tJQLtQrR9cLWQTO69RRRhVr
w2rRtxlkPbjc1Pg4aciOLRDcnzAio5ju6yUrdoNXXu5nTTeJ6q8k0Tdpu67kxqRtMk6u9pFtaUoY
BBp++xAQRXSj+ODQXI0+U9tlC0Yfx2Ett9wOL0ZAINtcr7aIJCBCGRorwIK7fg860lxy8s7YOxaf
RWuauqRFNfTASTrdYv40o6loVUcSQpfHlsO6FKL1Y6Yl20u+6+7Er0JLbux6w+XuHRYvPa9kFEWz
UlBkaOiJfrFxKZZFD1DROt1770we6T9q+j5XXfUkzcW+Ngr2vcrKuyu7Fc6S5C3OgRbpfFIZOf7D
BuvTdT3L6cgANaAo7j2MBaN2IoHIZEjj2grhzbFEkLITsCB0RBJL14N5rS8k7Cokp/i2rvMrKnHz
ZgrqcdyLQaK/C3yWn/wnozsaZl5C5krnh7pA9aFRGllF+iw2lRfpqP5aaSOWKza6WTDiQWfDgy4y
4rELrnx82TTJUz32gn1TiyQJUTfj1rZ74SoijwuteVvcZU42lZZgy6kdl7IZn9rFM+7SJavUwdW0
nitv7Lo4RZE3/Qd557XcOLJm6ydCBZBIuIhzRU+RkihvbhClUhW8SyDhnn4+qN3ufc7siL6cOZcd
VVQXKSLzN2t9C+fyWADWclI2ewIat1w1Rqie4yoe321HSG81ArD+HlEnn81SDm9QXbuHxJyzqxD1
+odZdujWWpuR9jrhm33bN2322c0Mwwor6l6RK/lPFeaeO2o2moimUkgeRr9pAeP2ylx1oRNeKJjo
MBBBY9md5kbeMmMpGQmY1VNv5s1xTMoG/stcdrtiwKKb21N0EmLkSRqYFCwTuI6Np+fd5ZFpXzDf
cdcEnTbfqklFV5MZNecB+DUgC3vu7zzJ+5eDi9kFCwXPIHvM/MWwYn1VjHiNAYFpZta1m6fX5hSL
a/ZCklmFlUK1d/q7MvVbWgSyl4ZVWGsoPX2hvHBVJYX6ZWI6+RVFTcM6HvfFck6ExIeXE8yRJDvH
k+XuoIsYz31XtPj8Gn3tmjPGD4N54bouDJWu/ECHdwVsbxd77FT+8nSfP5Vm7N57c+ZfD9PkGUxq
+pj0ILOb5IrCZYhXqeq6Q46RaNvD9X0J6J59KiHfCjYqVuw5TUE0x1wZ0amTIj3hayMHy3JhdAdR
Hz3zm0a3DXMtf0JxFufI17v+DeZPNR2aNsjWdVeCGMdgI/eeTtMbmQ2kLERMK8UaJE+w9WpVfuYy
5Mf4uRlhNcqMeB8q4Z4z4TmvFJo9on1n4AkGEJ/REyHrJBi4pkwl96RdWY0uHk0cLkwE6K5O5hwW
z3PGvbHHrAxCOsj1dZ4xlcwzD3Eio910D5AXV/Ss8+dcesNVTqWZbrIxocy3ScNb99WgD1WTYzv3
Oa9Xtiod7NnoSa7Hjm3mpuXnPxTYR8nl5LS3VwXID3gFzsjJk8emS/1R0f3gSWoecozX9840LQkR
zLiCVZoF2BMLGMQvvo7rF9gWLKOmKE/WVmNVj4mOjccuibN0E1RONa/KWo4tEmo5YzQQDprxJkGX
sJCZ53lNcAFsfMFUwRiBrm8jy5xvUs8y9/CTwnDL/kf/6piA5stwj4pIWaZvrnpVZBdv6Bcvi2gu
7W8GUX77fJ+MsuZJyrCQemWdPtt0vfw22ZPcIE5neMYgPPs1JhDFQdznGymbnpl3m53wqnNg5KbO
LoOH3bWv8K43qROTusCkBO52txVCxZegqkkZrsryqshnJMCRWWIALeL8rmZQXm7aNnS5LhUCGSdL
hhsvNyqcCFkUICG0FwRaH3rmJTHVAmIfmCJLzpaHPkiNz9ZpUkr6JvPuO8emxNfa789SkeXQj0P0
COHGOTCWIjXa6qW769B7v6Z9T9tojJmEst+illEmIgb8GSmqzdEOfw6mys90JvavaHEGrA1EDzdY
/K133UXihiNovkYcraut6zJY6iYcjwHTiXQDY8h9R5XYvXO0GnthqGqHTgmNfKwK6x3UhXfOurG4
iflyPwInMK9sxoHgYWS/hxkUYsfwg2PvTPF7AsLL2AyDwEuQmdrZ83iVn7gkEv5SYp0kc9FX5fKd
WLcNA4Ewtf2z68lyXzkW3gu/MK5EWmYPwejab61FYgseoqKV8LVjQTipF4e/8PHqVZsnISKObFIP
rfCSF4+/dihRke2q3B05SYZ+OGWOG28jgk7vzV63C4tfFKt6nmgcHSutrrUxBO1GE1XfrU1vZDM8
y/i5apaeMRlkzGzWp80xOk1yj1/Xv1Mh/1ev0n4rh5fU9v++il5/b/TP7v9VRi+v+6uMRhDMDoxq
2EJ8uMSc/VFGu99IAPKoYqGhLn+GlPL3pZr4hpvfYtHl+gGuf5Pa9vedmmF+gz3jUHcj6cUZT/X9
j4A2HE1/26q5VAQ2LBvEGXAFMGH8u0a6ECyarcqMN30O3OEl09MUsBlXPqNav7kF/RfiYB7qi1dj
IyIZkSCgLQHe8pdwYWZJP4cIgQbMCXC7cP6s3Qpk/S7v3WFcTWObMv7MzfBNl25+SELT6Uk2XoJn
Zm5nbzcOmQXUpVPzdSD6DyftaYCHqM8OwNebX5UV9Xdka3UfRWbNP7sE9dqZQV9QrOYuJAEHEWdB
KkVFVsMm+krJUak0jn6XWvQDVfMjmsr6bRhC6+ib1fQICMy9D6gjIsLHU/kwu6Px4CYBwDQy5reu
Gv3nORnH5y6c4rcq6xFVNVzI5aoUSrw6Ve6/R1bi3RpaUsybteXvuyxL1000+ldmIYyLk4xQEVyK
qgkfHILGvDkbFrbSpQ9Ob3SbJgcVifqlmsz0vlfY1FZ1oMon08uz59KtuUUqTQHg28nF6ebe3rRp
6sDBNCL/gI062LI2COEUdOaZFp1YJchl2BijRLzMTRPfDoO2Di4o8kvXow7E/qb34O2re2rX7rYl
qunVxZFzToMJqWQigh+KCLEPAIHW8+Rp907EVr8mqphPdpyM+0g0+Ym1rHUh2J3NpJwb45jgkkSX
Uk1kypj2u1EwWmSYmlG09D0cH2Yci3EsldwBscOuoRrafMnutJ902daPQzHO90WQZjuM6cb1MHb1
orot7jvXq+8Z/bcPfNeYvGb8Km236k/M2xeAThvtbSWnG1Q5yGSNegjYo0Xjr5SD7VhMrFEIrek/
pEW0Cy2Hu61kEN1DBG1++F4cmOswLNRdlJvuRdWyWY/WAnMzi+DFEyOTTGEE+7pMpltUOd2H4hJ9
SorB25bTbO2I7HDuurhDKYFv6GQZVnSdK+CCK5u19FHjViehYLI9frFzeLSSllhbJ7SLYydMCg/p
hPmD8ML4Mkz1fD1QxkB6ZS+X7aq59TZRg6R2XXRzciUQnkyrCl2wXNfo/Al66nzHXlejooryQ3fC
yzxQ73baQ/KYGZeygMfUBUbxPtV+sAOZYW/8DHFuxcJlPzdD+tR6efEjy9ua0aWX3i7NwD5BlbfF
vl/ciMGbv1s83UdbF8bB85uQ7iKYD2bf9C+pOXSvZbRY2gMXBAgIgIs/yfk+aNr8NI8DrSGRKevS
k/O+60sEVxmeh5uSIIqtGLvpngiLeFtz9JEZlSX3nHMCwJI13gaIV3mTBSYam6wezAm8r3FW14Y3
WBesyN7RNmb7p/ZVd+XEwqbpDuNDS3zGzspZdtZ9FD6ktd/BRpqabdm30Cm9bPxOPIu4dauqZ/9U
ly955OuVbopl3psPmv8J61WSiaLomJZk5DA4TfuHnoXOthnm5tiVxfhaMTfYZ2GmrkwfWziuX5ih
qH6Pus6GrcLKsiZZI79QlJh3pbbmD1Xp+B1uTyFXLR/OtJXKy3w2eAXq4hCnzdocpPoogiqa97xF
EDxNz/6i41k95LbVndt5FJy5efFaNopvKjQpY5sgG/setJ7O18AuQDzJDv4SPbXLZCyes1Cg0wUL
4RsY21ZGRnu27lzTuK8NZ9iXiNAe07DPzoKskR+c1hXC3ab7QPRUvIm21WeXbbS/DsthfmODyngv
GkejJwKlKq/9KFZPELeMcB0WIVVhF9aCkTryEDY++VBdYlPrGweeZLOpOrTEKxxZEb2q9C2SgvBj
QnYNxrHgS136dH/sjnygj4tduZc0SoxktmHVDseZfGPE42CV0BTDiBwska6NzrSyjZM6ujnOtY2R
BdVdgVAZh/QLvNeaGyDP4C0zVaFDtBrV4QwlR+SNAggTljbtzFkbOe+6rLMgZL6Z9Bf2tBlbPw6U
ZzhO06OfgK7dWbCgmSLTVK76DObJSEY3Gg54xuU+y5pmOhhTAsyBYW8dMptZ3JZ5P7MPLNqgu9dt
aB9rYpYeSoKVPPJNTXlu4qL9npl9LQ6JV7ScMbiXaG+99tPvRc9WV+HYwe3MfBhOW1AhMraci4hq
jJWBI5hacVHTdROvxMRopG297RbvXz5FvHoCbNgemWFnrK55VzfeLP3nytZILixInP16Jrql3zMz
0RA+PaP4IAFHPjOg56McOxhzeCahjm2ZZ3Czx6WVwPtF5W+u3dKe1cYpW4f8iQF5DsNXz3jIQp9n
vvEM60OB5IF8ymJs73tgLqlAqZi3sam8O6ccoiOf/TKcnwhvm2F67lvK8lU1OmgvZv7hv2IYtSfp
Un6soioZHitfZBNjetyi0qrs1xo38VonQfmsWuAGPg64AfryEueG0bLbl61Knv2MBWE4aP1CzSAf
m7KKjrrs7fPYKLkpa20/GE7FBTH5DL7Yf+wzvv/rgbNYr0JQaAerm5pjnbB3QCONFNAkd+oK02D9
WTTJSGFkBtPeh6zDZl1WG8Ch6j2CZ3Oei+lYp59TyRoM5f6x6MrhAdaW+MlQNK5W0Pw8RNmk4FSI
gi6RKcp7bE3hBhdrYq7MyuSyJO4mpy0lAMwjt0fLEOhYhRdUGFI/sJaZ8w1VofnqMQ7a68oNnvXo
0+k7uXhObVd9pm6RQdwr2bXzMffRpYvBwKKZGXjN5J84f9xbPxmiW2zr9Wb2yKWy4VkviNNi2KUS
hSz5Ua6D+ry0nGu/sudLEjvhZiQdyOLXHven3pLOTnqlvsog52DvgBe1ZnHgNmuebneL3SO/g5hk
E6M18K0Ct4lnMc/TlsFOOg0OaFmMN4B0Bv9Hmulii/YRaRNWsuY6kG3xDLUAWyBdmkY5mHal2gVp
Y1g708NBQkMI3mbbdqR2NuxyEronsG4RpdkVMh0aKJiBN0xdzOcM9u9VMbXNw1jK9gbbZX/uOhns
S5haNdoCrlkWdOOuGlivrKjXliAxdNHsweE+rVgqABbogetaZy/JaIZdZ5sXPTZWBtC7kQXKdjQR
J45Rmv3okNbd9P0yYkxgJL2ysOwZJibzi0eNcWq1aEqYK8B30LYyVVrBrZJ3WVH0JofdoH+gBBhB
+ljGa+ahPC1Lxc4Xd8ZwMEQGS6JcwNJj497UaVNB9sM5XudGfhyKxnh38jT/XiIsTfGaK5c1oxV2
P7gSRwajnrLlve4BwaytyeeZsxBH2OtAJqg7LDHNt2whLYoto2zPsjHnz5aMxiMhcrCvDNQQdjqR
1pBELiLSrwBEqMj+Qx66w+OSGo3ww3cYeEXWrDcEEBKhiDXZtFbKcJprApzUT+5Y4hbzQBK92Aod
UcL8FskYNtzA+A08uaK76LchHzDu6CqLb0nu65fbpnSOadW3d7yP9M6KLIsJSlq7T6Q+w1bQaYEp
pv/KiCS7Fx6KMrjaRSPzOwyK0UlhNWHtK435RRsBbiFTC9UwBW/yq+grkDIdKM/W/7+sjxYX3n9q
fNvv5Xf18//eHy2v+73xJdIZRT27URJaaC+/JKN/NL72NzpNEk08ukLLwmPwZ+O7tMQeXt2ATanL
jWb/1fmS5+zzB4HHq5jwIkb+Jx4CrIV/63tZRZF2Ii0fMwM7KRPI6t/3Rwkqt7aeHbXBpY2uQPSs
X9dpu/hlTCNy39wpkbtYVEACyFs8dUqWH5EQFZK3pLHuktaTFNdJG54TCpPTjIR7N4i8eUwcPEGG
H7GNz1LbPpJnUOD97Vq4KuYknwtrQpXNqJOYtpS0jqXmM+IdS438zbBbHO0q6GiWYvWJGhcOB1sN
eSausfG29D2EzKAY0PSjUdqFawxhFJOIxfq3gMSAqyjOHHwOpJS/ZZweBUo1LoerpnEpH0Jb6HiN
16F7yvDNelsTt9uwNTg/duw5OqbDqQQqQ9Vh1rFDZmAKuA6xZjrfFvboW1dL034Kuia/bkhVvikm
plAE7fZHkv4mljKuMcBOitEArE0JM8fsR7V3aqUWlp1S6dUEpjDeooTR6VtXemyZzboK4akwnkBz
5aISzMRILCzEpTcDMMK7tPMeHI5ifdJYPTBWg31PuvFGIxVHuu4JenxaW7cZyi3UHyKunpyZ7I4V
sDYCkBs5Jq89LrnqhJbc/tkNdfng0ig9DiQuFytFi9iA6fPFySSvlYsqU8L5HjZpfM/baT6px2hp
u8V6lI0u7KnFjpSKxZkUJYtLya6m8CPQ0twZTtydq8XOJIPBenS/PE5ZrM2tBRvoOk7RsvFlEhdr
DMW6wlJ6UgWSF+ReYh2Fbk46B0v1Y7r4qeTirKoXj1WxuK1KJZsHOzbLDyldOuDWsK/qOM1/jKQE
X8rFsxURybmzFh/XsjLcyMXb1SwuLzPsR6a/mb7ymjR6Jl2AaHC9uML60OHLrxav2DyHzdlDhnMc
mVMuKhBcZT5Ujauau34tE9EdnLZ2Dkogje7I/L11vCh4SBaXWpaBBVvFUGCOFH9sABn0D5t58baZ
ZYw7NBvGzzav4IYuJjhzZvXXLcY4C4XVuV3McmKY9a4XGOiswe7w0iGLJgtDxm8RgF8cYwPI3XQx
4LlfXry2a9LvsW0N+zGOjSPMueR+tibEucqn/Khs7GZf7j6gqgsxBFmn6CP/SpWj3saRn3mrPrHh
7y0OQbl4Bac+xTboLA7CdvES2pFXbO1GFDs6ZOtJsDne5F8WxLrw96hX7YtKgPxMX15Ff7EtFugs
rlF+y222mBpjMmmvzcXoqFIXbFrr9Gu0FubI4ofOkRJl2jNhgnUuCRoyQsTMqNzDfdDm3qYbh2CX
urVC+Jvm+ypp3KuJjmSbLC7MgMvrvVycmWEfmidDaAFbwsW4iV+ydvA8sitYd0jgLl0aG1fWl+FT
aY6tbdWWI4gYdr4Q5ALZ/MJ1RPoIKJpY7/WXeTSuXXkXDRTuHNbD9+TLZkruqh1vIAhPzx3WJLku
l30sknGTXopohA3bj+yOkFY8o8sOt/9tm+vpn8phw+stu16eXn71utKboIwI+C4RFCPQZrtE4x6e
wgCQDS7ObN55XQBgKBbtz34WZLGHTuCT5mHmI0Amds+RJxXjsAAkjlv609o3veIu0nZ1jzoT9kDX
Zt6n5cKJrmvHvOJLBUZKc77XFermteEYFTLlr314xZefWf9oVGwEc/9MSzNsK7aXjIkmUx7ir916
/7VmN/PkkQ2NIPbTMUHwjY0G2VSLLHK2VaV7zudld58VbfE6LPt88KVKwYYmshJ4N0j6jVq2/zQM
6AC+JAEeQ5VmnwW5uBFFsPgnx5SmcdEP5IMZ+ufaErzBiBP0ZYBbhSqnJjGz/VIfQHRrz+UiSehE
Rt9rd029N7gzcAaVArUc7ZZPJAwcoRQgU7iHuYf0YRTs6tY0mKNa2W6buOvaqGk/Sd2OxPLwKQ98
T9YiKK/KoXxzpC7aFe4cDuNO2OhtUgc9Up2fJq3GU8dVv3Un17qt3Orn4JbRhvyC/roi3wVXnM9Q
K7TCmjFQkh6cymj3BC8454A17TptcLpTuFGQ/u+vwADcY5ahGvlPBdi/sRj+fM0fWwdcOdIjQgTd
TuDjz8Gv80fx5X0LBCXZYpt0ICI4UBp+3zrY32wRkC3JazDZ4AX6c+tgfsPx6bCIoE6C4bDEe/6T
4guh0L8XX6w8nMUjypTZoz6kbvxX8Q6KTSBBkdVuEB32r0nDCUFHVBwdS033pqiTCwSiEnWwLJ8a
35Dv3oIwsxwWx1URE6nRaQdry4Brm/aKHTZEww3vWf1imxzeTCW12xQiQlb0qze1o1mMQ+6BUk/z
D1rYfhgpLXYkF5YntQwJMjXJR5oG/cLpRoBn4KVPTVPrs6hT9umWZMXfLnMHAwfUY0bjB3WYqQTF
RLIZEo6urbT18Gj5ciClTkKL5Aax3spRIk51JT3HYNN3DiS2rwjEYqYFISU6kqXj3TETGqPdbM2o
TgRL/A8v7PXdWEfM7ueZCTNuAqw7wO3pYsgbZZNA72vvfJctH4rVPqZmJdUi21GlRrsY5yZxyEYw
bknwRmNJXFb6nho25P9WWLO7yYo+yKEEZ9M74FJ+aEN1cyNVL8BZVeYDBbi4Dn3okgiNumsCy80L
/N/hh5wa/42oo/jcqTGg3SfrqSEyfB4jmEQIIoesJl/a7nw0oB5igfsm8KOPvquVd/C5py5mWHLU
p4nrv5Ze9bUTViMyUEsy5IpaK6NOrMpmxx0eePseZVPFblvbeh0hOGnXhjQorGsxo+lJ2MAwQwqg
DngolF4Zg5pA5GX82XGJHELYckdtFJy99Ngtmulm+jGgYSj3alAFyGfwtIcUZLtcpebU4s9HUb62
Bq2AGhMHdDe1wOYA1znh7URja6yG0oFiWDUYDp+g3YWAR+fCeWPsZF3YtGRv5mAZhwDG0xta2eAx
9XwDTbU2z8jqo6ssATiLPom4Ah0722DSxnXpVyOfpo8VbQRFEJqBeIhB3C0yiela8G4RvgoJDjZ0
DftkAsFIUFVGQGEh9TufNTv2kivHmu+HpCZboJmz8apQ5KevQ0w9C2qQaPghZTI3+KK9FOTLnqYq
T/CdxdW5jpJXhpvhJi2lwnPmt9suS8NVXCuXj3XIr8klb3d4T/J9zj57x8Xfb1q+MSDp/QHJDwhT
XB3E4YGpgBRXG68+L02XNYQqG70laoWmI2LgM5GGsAqE5INke4cGyR+uohbxrvBVtQ4l6m17ghIl
hZnsifd+8jyWi7QJlKht7TIkaH5NHQQ32rt8y8SRy6frvAsKBAgNsBzWI/P8rdVSwdlAwrc8omQL
dTLfx1atT1RV2ZnKtN/JTFvHOmI8Sbfij3u4c9A7IBQ/AJBzn5QyuBbZ2swo80TrPlqWVsswkny6
Ngs1fNaluG7rKV3M22h7UOk5LAn5wuQGaBgt3qdIuAXD0RxoGBubM6I168XFs/wjTBxzY2FVdxi7
Zu4PxxTVtpa8sIkK5zWxMDKXIZ/IGCTs58Ji2oUIHHao25ojM5xqPeWjXvkzaoChUGSjm72xD79A
fWMPXMG3+LAzm4+znqL5rgPesE7qmVH8hEQyYBK+sESn1NtLJ50ekH0513ZYtzeiqowtUoLgF2mY
4xllWvRsBTyCg54ldbnqDlCykaS0HhsMzMHbbG7GMxOtqV1lScNeh32cs6nQPTjHDnbTpwOcRuxE
Xlqfk+OhEQrM/h1NTEyXI8Jrr0CutVJEAW87RkWEqxsYBSRwaCRSvUa/ydoB8J601p5rsNQoDVRB
azNs5A7iTHHjELx2rQfprrzKNo8lwrybKSJKpBl8czuioTvrKa43g+HJ297KorVwJ1TfMnbehg6d
VS0gya+W5JkJ2wZe0iJCZw6nlYYmSwo6Aqtx7X3be5Ddp6Ljr1nGiAyoY0dwsbvc4vmxm09lYiuY
Au6CjVM5trXq5BxoJmpanMfIQbcuY6975Tps3khbZ7rIOjjykfd4hndlTDVD4gYrA10wgp5PF1Ha
0UqL7jAF4jHvzb2B0ApJiGFsa8YQRzSJwZ49AWN3no3sELVNjbW/DH8VSccKi6hJzvhugpIR+A4K
6yG9D2yyShYi33yrmW8eGX3Sq6Gvqk4xat8TeZtBvmWWyXWn4theW15vsTxK55fOrdCeI+1rl5VW
kR36VkC5qScwJ6jan8Zc+bgqSn4ZBBx+NrGHmW/I2f6j9HoGhD6g1sJXUdPH7oAvFc/kkUz+0YJ6
y8gZeeIhUh70FCM2bro8tm+ga9vZZrByiDlWXx7q2HcRX1WxKTZl68Y1q+sy34S5LF6sKKhfYQQS
CRwr56ok6G03pHJ4GLmvq1Vac2OsElQY7ItlgRNd2eRvGanmt4vlfr8kv3C+BLN8nTtjYlfozHcW
a0iyJGXMEp9tgLlOekCeXl/Z90bPgpwVHKdEDGjhti7iFDdwYc53JoYSRIAuG9LOMgiCi1qV7l3I
nTj7uWy+qyirPmw0RB9grjFNINu9RiCGG95riKqfKoQ5EGfjJ/JhTcqfsIk2xI7xxNMG1MiLEhiv
5dTFb8Mc9Pt+rgrMBXGYdmsU0YwlOGmMxwYrx2W0VXMN533cZX0/3I0zT3GRhiUddzI/a2yWO4cZ
/e0/L7uvEzQDbfWr+z+LUOhHVU+MnOLuC/vx13/9TyOsWKZlQjCBN/IfqvOf7d+D7f960R/luSCy
gwHkopL3waUs2vY/ynP5jQArH5+9I1EGsTj5szy3zG8+Fnx4rxYTHsbYf81GvW/8AdZ4/mnCgkKI
GP4f8FWI0P238tzzbCq3gG4goMpA+vj38tyvWF8Tiwf+QVX+xyLpOPe+rijveHp+ubaBTAWFJSr5
sK72aqoIqTFZ3n93sza71YOaGMElaABCB+2952YjOYLMNc5mgCge1VkA4qqs/Y1Xpz54D9MvA6aM
LfzkKUI7nfYLXkvlmtgB8MFw8+M2XNUsmODtVpC04Q5C1vCL+b7O2/jDj1X2bhqj95DH/nS2tGtu
86w1XmAc2z+Z6sQ/4tqH5gWu4AWhM7MH3OWbGE3rbWlb3OSTgrw+Oa71jPguPXejMe4GKeYbt7QK
gIJVAJPTlvELgQ5+tba5ok+krYZPQ+HBSW+7rHhTVcieqbXiw4TciDurHK9A/eKZ8sYIdxA6z5cs
GByCWWPnAvpOvFi2gQmMgPFTMAJew0yjaLsH/taB6ND+lchmZoK6d4zdDH/yQp5A+6tnCIS02qdg
zsRU7u1Q+A9FVzmEwNtzfglblFaB15Rk2dVt/UxkLekklBK3qGClvUqx0bzgOfYOZq3DltNcGFeR
24NQiQ2c1qy+cASEUngvuoxwB9Z1759oCSCFElYAC9q0C6yzufUZSzl9MEHADNy7uC7hiI5qkxrt
8EAnIrZTH46XNrB9YhHY/OwF4FEkFkFWPnpUhP2h7XsLDE01+E/dkIbtxkP3+qziCCxvI+bHahL5
rdV0xaHKdb0Ph6a4wtkm5MoccjDwQ6o+ZIk6ibapvhqyrPykFKGOLquxPDhMvjZNOibvfGLkJTv0
EWfyNsSdoSMHq6Zy8VS0mPUPKCv0gx3NcJJl642X3i7DD3bfguEo+Rcr18EssREpU0Y4flF/b+QI
/9dTOnYDg7vZugJ1AiKdXZleG3Pq/4xCTzyUIik+AtElCEC4QVcWtN0TMh4Y3HaXoYmiLL0W7lyp
neMb/j6UNusxpDm497QbZ88x2PttbYpu0cki3zWGLtjVWYGXijVcctVYgMVo2paYqMYP4lVFStwP
ANji56D64meeqfBOxandIlgK5Cayg/IK0NzcgjgWeFWIDkH2C/C8PODoI/HQzI3pU8ogXA/E1pxD
Nv1PuSnBBzrT+BA3abjr2wzVSRYH1QHRXPsERzi9+P2QXEigC/ca8sCNrOvpJqya+uQZmkw3Zh6Y
cjP03IWXoR8ftR1vvQZsMFvVuEZFMwrMyCSVvHKyUKXYk9c+ucKekfAV5lloJEzjGAbHyvOzGyC0
51pPj1Wfb5hEXiNv3dj8uwhOxvbKaDBbL1PlU9+LN0OXPnlBToEAFrUsEneWM3snqEPGUU57PRHi
w3AYp8yuKhArrdpAu4dqinC6tqYb/4IIkhwpnfu7atTsHgvm58OWr6vzCoQNCVKC3F2u+J4HBYSK
OO2ZhypGbz7MFPCODGxJ6U1UsQ5HXR57FhNMzbzkrGRi0/RHYNpILED3Bj55jLOX3m7Lm1B0cG2g
nw+vZeUPb6hRCAiwiRognI91zts0w/lFptliGzeqwHmfWbudArfE3sg21iFSuAuOEVGL141nEXlQ
uv58FyMDCo+eHdKcqBSQUGyBQ5/c9GT0cX5dFIt/E9UZfgvUqU+qMJ3vArf0mzS6xjv0BYHlsyEd
KlejneiUv5LHR9Y9HHRpLe9Shy35qsV28xK3uCCceMC2UX0FmUdLprnBgOK9ThE5wMwn9DzBu/sQ
jiWIYz7/l4aAQ4DcjcbojpYdAFHsjc5FuXl8bEwvvAwD4xE9wsywYCVAb59G/aajioxYTgpk6RKR
CW1GaK80N5BY41aMMFD6rn7No76688cwvSFDoXpXVRqgsQxn/+hHHX7qKSYNHeBncapb1NnksYav
Vtckz/+8RPqfVvwA+PGl9R8nk9ffo8/v+c/yb6TYP1/3R/ljf3MYclLrogxDcPyvGZ8S16FcJqDu
n5XR79NJy/pmS2aZfyHk/tBE+9+oUvg5fB0ZZfxTuNy/jyYZiQr/i3FE9bUMKP9e++i5DjtdMoQI
0nrd4Z+o7CPSX2RgxqZEYIrDZ+XVVy5jri5unuo0YHJXPxZdfFq0U3Zv7vpUH13iw7wAFxE944yz
aVkZUpTE9m+gqv+W8cwS/G/FGvZHIk9dzxTCZqQLK5dt+r/OUv18aivY8f7GcBP3u2WgkOpDvGgo
VNAv5bJxriPGFKdxec4bwc7DX5795OsYqJYTAdOYuWWA37/JgqHhaDM+keRIHuOvU4RRR7xlGMge
ylTuO/5C4WDKEXGywQCavqUdYaWrEtLML1lW7Xu2nFgWC4Rml/Do34rlRMtZKRIZ79g1B12tX9GG
RChg5uUUBJGuT4K19LH+OiTryRwfi2E0pnXmhiDqWfBxpIZfx2s7+Aw9Xb9P471t59MbAzQO44GQ
E5RkyxnN3qw9lsu57apQhZg4o/kYdQ4HO+/M301JCv+3LqrkOi/I3uha39xJPXQ7JxtbDKNI+Ai4
4fKQhp+tw+VCQcqMRcJ016XtHFUiMTKDch/sW/bS6jZni0WMCxeU1QEQduysWTSL6fygYpc7uXYN
87X5uuBGsl9YuI9ce6HfhTTbWUP2e/l1MS53pL/clsw46hPSq+km1iFOTppkSiUvubjLTctcZXwc
mdgflJKL/PPrTjbC8aFY7mltJv7TuNzdznKLW8t9Dg+JvHCtxDRsqbhQTYbxsOQalQocHOlP/vPQ
zOqACs+9H1M+pf9i7zyWHLfSbf0udw4FvBncCQl6Mr2fIDIrs+A27AawAbzTGd1HOC92P5SkaKla
6ghNT5xRdygrkyQI85u1vgViwbxhLzQ+5eVkXrVtU+2tOKmeuTcWrL7tcl55jvYRze28x4KSnNLe
YWQVY59a8Qe7O19kLYH2LF1XbaMlb6pmLBTKmiUho1e+I4GfEO0/tc77Ql4eETMhAFqzxPIkE54a
vtPU9wJbLMPTDdyJYNfXkXhImwabUGJNWzmhEbR1r7ojr9K5iLlDIC9swMOaT0nqdQ5UodK/JcGt
fW7jiQdd7ajQbT15X2sE8TGCCj4qRKKHzLTrfaEydfB6OFRDDx5mtPXiyUnS6GxOKTkyFfMZCs9e
v+31vmXP2+pP3ehLCIiTfcTlQOJ7XaCgX6usY87ee5ICciaRjixwYRp6qIpByl0D0YN80QFi4SpJ
bW+4biQI6ITCTyPOzzHNvtwTX4HvraCBQORu8/zGHpkEDn9UaA5O2Hx+0rrWsVFMWxwjX9lAY1yZ
oGZo0CWcRZOzmEebYZKLO4EEXpmZDWw6nhKLRFilO0ugUyFwLUWNunadWL/XYWqY4VBnWnOTRFX2
1UBBEKGXIGzBno+UOfQJJnkiFKe8ZRrM1z9Wy1BG6zJYvqbx6dWSGDgrw1tIYb2YxJCXkgjkO51z
IygbFDVeRMwoJe5jAeCQoKEZpZlA83iN1Yw1jqYN70EyT0dcD+JVTpF9J4jb2ZHOFDyZKSfhKmgD
FWKOMy7YuxISi9tef6YQ02/sSWI5jKs23k2miUt6LAIy6rN6vstMq4/DbMqXxAfQ8VyBlQ7uoMIR
WYQk0pfdBikayklXOf5GaMEEoMAlKgTx3bRK+rTdk+SbHSQZgg/k0NuvRYTDPDCthgmfZWyScshv
ammKFzMpmzs8PYQmlI7cGINqjoXndq+uJ62Hdiogk7iFi762MPuzZhXlzeinM1uUIUi2aeMEbJfh
Y6zMuetfEzza5QrOiHpDMhwXpLfN0fkPQ4q/yEr4C5o+IwXHMT24jiarQ3aGf3yOIMamlkdqvOlC
TLch5uBjtPV2pHDunMN/fi1z+Vv/YrEvz6w/v9ZP5n3OoTS1CeMgAh4p8boMAWjnmy2BzTxjyIRZ
1R/91l9hQuL0CAMNo+yvq+G/fW7+iCD441uw7YVgANiFoNHFZPWT/stvxSA9h30TizWxtekMViKk
qVk7byBiKMTz7W8RAn//msvH+rfXRO+GwUHXPbRnfz7E1cxXGjtTvqEzD+N9skbM6h8Qy+ySk83/
/NPD/OMz/uH1fvqMs4A5BVcp38RiBW8sBLS+nh/kOgmxLUebFRaJdeuF9rbdoRdNdv+8xv2fPAZc
BnD/YQyYVN/++//9u0Zy+a3fC2EiDn7z/v2Jr+H94iNcZf6HbWDZ0PMbvxXBPoM+Qu6J1KDOw+vj
8KPfnIHWLwETemMRSALYhbRh/JMZIFO+n85VQkm5PLhSTSBE+BB/qoOdQADndmrAgLZVFmEMmeGl
ZkHGeDnTncNsLjaNHsODgD7Gaq9AVYU4sLyn5YpuQaFle/zC7hmDUHNX2w4kKfrwmt1dFYi3kSna
pTYVUeXgLT/SataoJlVVPTttz08qEb/gPtI25Lm7d3kSJ29IxLN1lWGoLSGSeWvELkO5IODIkjH9
8d3sk/4qsFlCoyIl9m8WVFd6P7q3nWEy7GtAb63ayh12FlJ1vF4ZwvPCBbPI/b5OLnpbKojLU61B
2wQB/0kioHPlxxgoV05Rd99kp6GMmesSlL5eteIDkYDz4pB29o0NWiHXXtPJF7TUkGwHMOyJmBOo
uCURxQcxCmo5YWefZc7cZpUOXf/NKZzgq2PC2dEtVzKsg9EOsf14myrN2Fp0vZp3ZDSCMYpzRX4v
YVfeQdpOZ++tCt/NivQFcSHgodzycJFHTxsi4oI7dafQTyYXbvP4XgpQDO9VTyKRslCy2rjmbthm
OA+Oray3NrWCjGGH5ixQCHKNvJxuAB5ocWbOZh5MnVjgKXW6q6lGN54hakSjlhffKcUGONBLfhJ4
RbKUJA6+nR0k5a5OaKNXmkjrHa5DKFZLChN2xvbgl92wY5Tdbqg0hq05OMROTEBJ17RlM7ZNVT95
fgUIEgqgf1Wy0rmf2yUBShcGZec0oLyL4UiG8dwk1FBLcFTXWOmxVXr2HThHd85cT2yCvGf4xcLn
g5VIsashad5rMdt6otqa4C2SIt4xswjONvKBrQyK5pjHTXvvJAuNSJfZXu9U+6Bp1hC2Nq1Oi9ri
iAlC7qgyzdA1+Xf46DReCdModCsCtVDiiO3cLylbTltZ3zXHrz6qcXbOhWtjd0Ee1VxpyvMfydFO
H5Iibg6kc+kHyb7gLBapGmpYecTs6XwFS+BXWnjdTYHALkRBwWp2EvNDr8g+QMMbv4K/KC+6HVmg
zhix+LXnGbRJJIylS9YY3VhznSmNADKnsgK4Ybna9eDBPmxWtQjqlugyI5Lyq1rizCxQgSgPiTgz
C2S90RJ7li4BaJ3jkoVGX5QTU4zEVASCEfoIr3M9Ng2AD6T9l77o55u6BWdpLUFrDdJpyk68h1li
KeOxa9RIDaUH7jtNdXwtY+kfgFNE4FygpTtLoNtQj0gZRhJkvg1q8J98HUfWLkpn7VwXmbXR8OLk
q3boi8NI0mXYRFV8clLYfRtle/g0BGB3R5/bW5cJJKRLU9phU7j9LSNHYkjAXG0HH7TgdtQQYWyG
uF8i+KDwRc/E1RLPF2cpIYHmOBFCBwh+ZD0tKuPOUA6sBUOXHzMmz9cWL8lN32VwCGer5VZUYlK7
EuwRbxzhAm/gwqk/CcKaXiLRoMVBFRJkYZ2BlOPEyHgvAxQRc437HoZwR7rXtdXgTF4HskrPgR01
m5yNw1I8qgKZhRm8leWcbMuyKx8ZnagLnukcAUnXdgdljLW/TacqOGG8Md76NI0u1L74SqMZGUsI
ojS71fXZuGgVYPmpLqxjNSG2A1QYX2WoktdlkJK/NgzwjUU0vSBedw7O3LCuraoG8blVevclKos7
u5rmi4XlO0wkiAUSg/3+XksRU+hY4TjN9fZbCuEVT1VT2xBCkB4jXtDHVxYZ8b7p/O4UzKPxSufa
vktTD9ghOOyQFH3zNCk4Xl7sniIup22MHOviK2aOctSAmgOd+675nrybk0zSUGVlcq4gLpARZ03Z
/ZRDagVLVaO18b114AjrOojddJuVuvpkdIqMAW5f/DwvM4+KGS+nQTfhiA1ArFD914+sWIZjW7TD
YWJHd2JgMoS5WzdPXQezv/dlt7V08zhOjc2SlS6b+r/dO3YBbNfmppA6dRo2wXNsCIBQtizPTW8C
HJ4TqPi4YrdoiZ2vqknLs2/19OMg0g4CCNo9o/cUj9I8HB0TDZLpq/F6GQ84q662zS8uNZtJvZ9d
x1pFAqCEReQw8GeWD7Ajux8aM74yeq06yUACYpQ6Ybwhmy7xhT6ElbDSIv0joOZFHczyDclYtPZF
o24Yqjp453pzY4EMfYpx7Zw7lDQHY8ZhuXeLkZ26h6LmyhERWiivsgFLunboV4bDyrsyiEBlJoOl
ARkaqv+St8fQflGFIfRnHzduhOkDLKkQ7d2aYz8aiKZQhd4iQKcxLEd0riuhTwbMILj6TeMzqh2D
7HsbpKhU0OyfG8bhd+i2yrM1VN4Rwb255xlffDehX58GY2rQBZP8RDOdA/oURmnXl2mAsQqqz3/I
/Zhw6LlsDgEyhCMqIoe0ykB/1MB/daFdKePFynsG9XXr7jzZl1edWaGooW3bR1Yld+j/ll1NkO1k
vKiRpqDgnlvXLs/dCUDpVKftKnM6s1u35C27laC3rawnt8NoLf2aYzpY/S4huxq7kuakVwPt48Hq
qBWyYExPbkA8uDIaj+WCNdRbn0XKI/17dnCUgWQwacwsHCqfh3Tq5XLtMgc5RADP1prpA1XRMdSd
Gjr774UTVyYCsc4q1hRD+QbsqHJZ3ogA3i6wWrTaZO0gEyO62Jv8R8PITZ8UAJW+GYMOGcTpcqg5
LlxjG03mivCi+RO+CMFNueW8WRqM7UbP4c4gf3jORFNxymf6JStGuQEFSc9W2c61mXmKmT0JWKGo
q8zd6AQ0bFE2x5tcIrGMOWfu0NNN21QMyVbzUTbClUHZvfMKo74Bz0XsQIAFW8sBBJlkEuyNsduX
kYAUyoUcnT1E/Ufu4Dj6Ox7EPNmSMEhoIOuy4JEskfp9DXJkETJNc3KfS1092aAHvuNi8fazEQ0Y
9YgS/YC1GD22ApuO4L+Gc4lAqC+i/BDgcF3nRuKu1NQGYewC023AKYaAqEmhEELUoR4JE0g7qmc4
sQVOiG48FM1U7GMEqERJZTUpJHqyJXfB/0ymsdm0jT+GaRFZd3WbdQcgmoQeuQEgV0ZfWwOHNpWe
3Vy7tdV9Jm4O+YEYW5YZk9YfYd4giIp1Vz5ZmXIeLXfGV4tNZ95VXdbtIrLZuAKUOrTIA1eOUG26
dbG3lcey1I1Ti/Hh1i7Gj7HiwA2Efl+SIpM7hNplHtYMOozATE8t08Zwgqt0AishTxTP1saTSn/n
Zm6+5shcbyyetJuek+Bzqrmvrj3ZWucExtGx7JPpqsg1Hmjg8t8Tpr7auqhlVpxEPZOg1hb+uK4g
m62qPsfz71riVodsDrNpdlZevxDHW7nPDM1Csio4IMQFLDtvjrSqRihEQ8MaE4P1MWihXKCdC2dC
nslyiZ7queK2YnJVr3yos1csG6qnpVRbwTODB6Q169Rwn9mp9WCLYhuZUpmBIZidSw5Oa4Xz+Cql
pHl1jOJqyJk8u0Uk1jEcKDTsFt529K1ru8J3EAn3xRXxTUKsEdRswkDy8VoPxgiWvQKB7BXe2emn
Fjo4Ez8EcegckOH1e60oOdtJziJfPU49cd1ye/PX8O5MrI8ZpcZq8Mv25Pg5s842LnSuopwJYYM/
4SsbDLy4WWpqT/6YZKR8R+LSadJ4bhvoXj0V1TrRPLwJhR7fsGjDoKFXvrzlmcSimG8apClFinrE
WYSctkNFfs3Dbz57sOT0VTNGxXGuTfsG7TVkEYWiyaO9MZ03Z5jSo+yV9Vo6Xkpe6iI46kxZn6nf
vavAkc4x6Se1zwHIh9hWy4GeoXJ+3Z/97Sjl35YeHvsALGEOKx+HO/tPAnLEx7PZ6EBSUFytxvQ1
aSC6caH8oWP/q5kY7fSfBjbWTy/z024Fs72QtNrF5mXcRj8SRFf2CqP+sd1lv05L/vYTmf/2WizD
LBvLiMkUlo/200cCcuiQloX8bjrGUGRX8BVq+leGQ+Umv3ZC/xKKPWloa/s2rD7+8wddPscfB1PM
wAyHkZ/H+kx38Wb+eTAFRSLjCm9yglLHs9z5h/wAk+v3z/iPUFD/kydCC1zpP0yE+vIzLd+L9/Yv
kzT53d/nQhhkHd1nKGm6rPaMP0KjbGZDi6+D/2j/eTbk/OKzAWS24SIs45r4A3vVIs6L6M0gYL5r
/ViV/pPZkP3TqfoD40pUp4lFBDMuUoOf5pijrQwr7cQQih7RkjU18/U8lsMD6p/m0GNVehq6Bpm6
KFCRI4LAIR4mJZrtNUSs9LmXhnWIY6d/n8dIfcOiK/esZLSMZykTCyTkkXGd2NxJkLXEl3hgAb8d
msnfVfowb1jCFJcYtMIda/2RCVEV8Nh3cenRLNwn0ZxcDNOaMJfUto+atkhZMtCD2pKe1ckO5Gxx
CUO4fEEvE1/cxZ+7DgiOOXsBk18nc99S0Y88ktkDMZijm6618WrqjWCdumCnZYfpPDLN+q4qPGuX
Jp4fyrEmp3Py9Cutsd1dHCTmfTF0xDeBvH4f2kS7B0k1HqBUTJsxYyA1R9O0qzNUcBEhxeRuQ5PP
fXPazBblwawSvKtRn68hqBRHNTZAEt1WQPupp7Oqc2cVK9RNZqkl39IZgjrrsvgm9ZCrrmbZOy+Y
DdmEaIjyb0l4sDegZJtLg7f+fZ4p0kalgKqqRnvCgyPOhkZvTfi2ardVR9qZGYzdusDk/GykQYYh
L9KfSo2RHM0sUbu8SnNJWRlvm4y89HNnzv4187qKLnwmG2QIzAzJTkJohfTSDSZUzIFxHxPp6BfF
Rzbb2aUXZgGtfpynzzjtbCP0nSY6x2YnNjy7s2sv0rHZ6JEhrh17auk9WvuMDTa+5kgyQwO4pM7x
JOCR44ZSxAXKhglViY9hwrvJL6/4qqabucmu3Agp8QjOc2UjHCEKVHrJFsty+9DEensDchLjr2HY
M+0AZoJ2Y4+98VXPZnUziQh5WzykNSGYUZpfzEiQIZ8Rn7KyLT15bI2yh+2Fg9lntzXWAFmjLHh0
KzzWqwxj+U2kj/IOvHqvrXOdmn8FHKfG1TPo41cxO2hTUGSmBG4nkP/xS4xWQPTNzNClcfqUdw9S
ZWSck+zpEMTaS5DrVyZrCpf2w7vWE9usX7VC75rnOtGdoz421k1iIADfwGgigDGqhhfRGY4RJgxE
d5IMg6tCoxIiTqIJTILiPfdba/X1bZZpNb19YzWrDCOox0LXc2/8xDFI3Ekn7a1ruhQsSYrzsVHg
B6uMgRatKFBCsCjFvltAhWUVtfdtVjID7iP0/OXMaqunD8C6kiKMhb2y8A4Bo0TBauhdoOw1ATlq
6inQ5jTfBqUXXQ/EnO8LH5Ryt3AUkfV1zE+G0XiJFs5irnXplosZ9mKMJtQpXBBZWC36O2fSy1AB
OuY9Gmn1Hi3sRtUY0bZceI6tGoNtHsN4BEZRPoiF+5hF+nSegrZ9MxexHGkvECKZR2kMYGX3ZmMc
e0t8xmwhVbh7NZllvibgANSkMOB4DQt/MrUi/Y149/bKTSf3YhZ6+WbQ5nwof1QnZJjag3Ld7FH+
wFoOPxCX8QTtkpjRXkfvBwMzMTC/Q+kHjFmmubP3ijx+UH4CN3MhaNal0rFdLVzNmX9f880F+Qf8
mumljNz6wY39BcaZl8ZN8gPRabcKXKf/K7qTkvxqtiGidT/QnsNoSug6oxxuc7aKU1guHNDRoPjz
IiYZcjKa6yknYKNFE7nqU/BzDNEUYzyiP0yra/u1lyItcWzgo/VQQbF1yviN+0CPa8dyNoDK6Pyb
hVoKX6R4UvTb2Nl9VouykM9533otpbEyXqdYgomDKP620ICQ9vdev53g278CyYnXgR0QM9Oi39wO
ml/c+cLgjMqUl4BVmbLHCQLgBkxdf7YMQkjQ1CfOym36/pPpoI1Un0xWdCRoiHauHuvX8WCS4iNp
208LoeR5wR9Ze8uuZZiNmduseseniMccv5sr03vLRYZ/A/IaE7BCoEib8uxYpMZ4wdWXnjScCF91
A0QM6TYy15xkFjpmrg63mL96pcoHxAfTpRBB/pbCZNqk0NOu7MQS3yJLTe/gZZOSIGXTusbLCFEq
aQJ+uc6uqrrVWLwkTYMNzCi3bqfDLmxqc3iJ1CRwKQUEZqAc9K9tjsljljQkbxUot7e8pHwrpKL7
gd9mI6arKrzSNVEe6IqjJ1+LkqPyoy6sK/h2Vt+oE0+S8pR0qt9NKICatZHVNz23qE9RCfWBMNjY
z7N1HYOMexEBkOaZpIGLHvcB68UAJhDRWZq3dZ0+uKkyIzrorcWwzvEHBJqjMQ6XqBDm12i0CYJJ
by5CMe1rZtD7wlKUEal5Kln0o56Z8kuqNHUvRtQg7ojjauWzkhmZZTnuzQBAceONZG6tVZC5O2I/
ubpAq12GmIgucO0VcphxzP/X25B20+Hz//6fX20Ky6r+70vYXf+elv/9X3+S9/3r934rX133F7aT
7JYw9i524j/aG3AS24aJlwqF/p/LV3upeUkT0AmQtdjNL1vP31ab5MoicLMobXWkZSj9/hnyVF9W
l//qdgCnIrs1l+Up5gvqV++nbmfolqZSB2JGVMCSt4meIwenT0j2Vc024iYmj/17oQvvGgLAYsmZ
y/GaWTHFReB0HlDMyfTG1cjjaViz0uyeEjO3wiQnk31dFwXxpz5zlWrl9yizt8Bx2oMcPfdVm/2k
PwRS4RFOYMKBIHKn5KqF8SAQJfXOTNhfqn9nOwEeSQ+GClRzX6tDAKskCHM4ki/A1O0bt3Q9pnAC
rDcWtw4s3qgTwrGKspkti5uYi11Z19WzaE2rBIg1G99BY5HvSYY0aopYWxR/PTC+dYkMbRNRN97D
TSSztYwsFEE1JA0AqSMFU2e39iMJOtGABRdxETu7OPSbhp+DN9hGWRbsmkpmFj/OsqMa8npLdips
5Dgl1gXqyPx9tIf4G4Y0dweDL7qHkqG01USukxO6g8g6uceu6iDvTUw/ZQebZt/zpVvdIKprPnPP
Ty68mezOKhWs99T0pm6TFL1nLVuoAR4qWnTSeio7/rDB0l65eDSPVm6oW5kMHOYmx+u5Gpsgv4s9
p6beSlu/WHuG6299O5PAJ1hIMNRPvd47WcbUR8u7UGfZjfOXqCywYWNa5zs9IsoBSGdfMYNTEfoN
FhwANQmSIWum5H5GxWeIuzyY+zdd1BYpBxBOM9l3h1hxu+w0ryHOdwRd65qRjqasXwZmGsQ4sgmS
z3Hquz2gL2/Dhs7dtjjDH4u0dU9p0HkbdnkKbTlMuHejxbwCqgzZtlGSfMzRIGe38mvG/3am0JzC
Q22fR3DRIYDf/vsks1biH0jEM4WcfmooStHWlCl6fp5VW9bawNwM6rKdYhd2MIwg/xr9iRgwDvj9
ECdDyIZXDGvdjfzb3nTQyDq9v5ujanxNbGv5SiN93lgYbrcThJxu5VhSW1sjiLaBkWy2ymYvv4nS
uLmym0l7LbvlHyVd379JJOW7lCt3F5m98x1syUwMRTutAn8oHmwK0Aojb9WxpJ7s9oQCfNmipbL8
bgoJBkTyCCIlT+LtbjsWycQBYuWu+fCL+p9KnaJiC0o32jmz0bSoehFtATAeN0ze8xPmDbLsAODq
O71082GPPn75pUh7bNI2/eAMsLGtgwxZVgC+exqKTjz5+BR2o5zNZ2EV4m5wR7H1dNKnidrS63XP
5JppW+bHIUk96QO5RQIHe8VSClekMA5Q3urFVK65T3ndqIjcjrJlZNy7h4CE5bWbOOYbwDKxzeay
JXbR1qNzwOCuX2FYNh5R5EdEF9YEJ+uxc9AI3lwjC9CeoQEwsQx8+HNOVxS30H2HN6xj0zPhlMEZ
bhB1F0GjRC0OHrwoxK/JW9IhwsB8WhGkpWq9CzNYNN/pdko6+XYkGhG3DZgeylg7dwOYvCSgCHx/
t7bbImXjpEFkWBHu/FGUWK772oo+DMZ0m9l26p1HzXXxMrb7m+VCXHekNr6OjMPMMGts41j7hjwJ
YH00SQx678gA8y5VnVgczX7OXqIFy0UJ12Jm8hPtk+sm3ky8CVysEaBbJo/JccCwv59to39xawBS
3jDZwN9t4Jfm5CMCCaS/oevIPm2SKDQsLEb/aPeg4zYIhOejpyuCjtJufIff5166yJ1vx0yQHhox
Tb9yumDcW6gYzwpB2esUlCUF02A++3OQXVisGl9d4ElgWH5+loRIHkDWJDsAYrh6/d41QugL0SXy
AhIXrchb+0Y9PNWDSOBHV1V27fe45upYB/YIDupYjS6IZRTcD3IalLWq6tEFKdyZ3yONaIYMhbGx
GbhJE+KaSfZmDdzcZhVounVT2FlnY+7QLYAFY/QUubhAGgtppuTWrJlqJ/LMN5u9G6CaWA0Auc6l
AqHo+sqbIYb25Q35YPZdVQXBQ9JiqLH13gpZvANdMDOz3ZExMD7DbIw2kdUVd5Abo2/cXiIyr/X2
BdV6d2r80nqiEamaTeIiebEMB1exJ0SHbU0mL3WWggafmXqg4yScqpPY3fqY6UhtVG+OSo1V1Xbq
RuPrCxnRKIKpYvfZApm548YaIVzpvY0UpMdijBaIXVjzbrCGdOuF/XbsY1s8IC2eHmZ4TW8zf2sz
Trh5man7qzomcsYvmuLdUFPA01hk4DuHqXC2/timh9zGDgYwvNgFZkkUSh9557LP050eKDLEwWgR
816pQ9SI6SHLiMKbGy3m6TxV13NsQPKUfrY1Oyvfu1MQbMquSL6L0m13mKexkc+VscPqSQNuYpk5
SEOZRx+E1Q3PtmGrAq3cx2NEOGUSzyeN8ciHUZnZgc9UhDPgjtWcjXLvMb0nvSvXb0E8CVIzvego
pG6dJb3zLoPxxtSlwYdErAlNUqJ722HKBtKD8/4u5YG6hc9IDWA1oMC6anleVn6m0ZihlS5WQWW5
RxAiZAsZsWbg3tPEzsCMfYUz2fXBfzpFaPhMRlZt3RbYATLzrfYsQK62OcW7Fvc8f5G1x7juWXiA
N+JgMK1P3W1tYVLUerDebdy76zlQhCyimQtLNXgsSQTbKCuJd2Ji3JDMMniSWRWt4yEfAFQwhdPq
wTu3OAW3/YD/GaNctvdmPvMqyKfsYkvpbhI5teukmoNdNMzFcUSzsjck0ms1qfHg41MkGmVB2WuE
u6PfBq9iziQkVqoINoXmejfc07LbKPZUiDcpPbBtapZsBmM984RnnACRyvCQTvktrRn9dH1yO6M6
dS6hdVaZ6yECELVDKtNviTjjeUwztTVzEZE347Q7lGgc1lY2W+URTiWZAFrEZJ6ynJVWzae+4IKS
W0sr0hMkdvvgDkF0hSW43OhN7l4NGjl+EkTyPs5na2+gEtuj26aEJCoJl0Q/619GFFRh5rB2GwxU
ACMeHOR7ULTcqCjGNcuiiH1UxDcQxoGDKxIKC84FgHMDSydGmp9AmrqngjCRkCnB7IPfyZS9cupq
RF86j8vc1tLcV4kY5nnMCUkKhV3GKL0X/ZMNl/1RuK72OdSapFTs0hhZewzHYNLq/Fb1DBz2nksD
txFiKr/6qa94RBWRgi0d1PVjPHuWgRPEbe/K3tZuosHj5AS/1n5HReMfZmhtdwwAhw+l53Dwu0ju
BgR5W+rLCCmSL4ZtQGRwCsfHKh85yUzwIlq1V1Zq3OOEnrFTuFZmwDHxmeHngCOJL9WHWym6ii2d
9AYCvIemgFs7NHelPWbvVVJbPeGYDGRW3aCzz0zdOTAoyXC64IbDXRvocr4bJ7Pr1z4krrcSZPAj
vAqcdxBDrBPTcQ2vJ2Od1x+d2f8uW37rVBds6H/sVIf0LyGly+/93qkGvxCkgQzcx6Gk02LS/P5u
xLd+cV36UbSvOPX5Ce3obyJc0jlY0dGOeoh0A29pL39rVHUy7tDl8jc9oM62vSi8/4ER/2cRrsP3
75nIgOmZnUXyq/+0aBkki3IpRAzbHT9B0ciiC4OosOwy1Gq9vliuBpGGADRzQx6ffG2Ucs+xZtXY
avooJzoNwd6qonmDC4TEjkQ7PKW3oOuDF87ncqMJJ1jDGsDvzX18M3Jn2lWVMZ3byJS3Q07cQIef
RlvViEjvatewPgn54cnjVElzqvu0eILJrG2Doi636KMYJ9rdfOJhOlxyHOj7FMftpl6q0bTNhwUj
FL0qhsJHOPPoauVs7fw8ZqAWW9HRHrX02hUO+rTM4Trjc4Tsjlz0D04EzS4nMxTl8GYI5FfkB2Qa
2728MlDuXrmgne9qWZbPmCmiVTeh3qimLn0mRENFRFVr5I3lmciOhoiIZOizOj1CHbIfFJnXEL7L
Jl0rkpWSdSCy6RHddl1hClAUOwCQoQHmtA07CECWtgFSAP9FK0Y1Qrxmb5W0SZrwbpz82YwjCb+G
LcCsAeVHDmiHkkJxr08z9JPG2vvalBw4yN6+SJIedN+ohYGO/tFKwKFaLuKHdmIRkQ3KOEkT4U9F
oMe3OBPdk09q2So2yRsciAtYdMRzHM4x6rEVWHokfXBDtgxZx41qzfkD949x62Ahv8jORT3dteYx
nyMkWTChtlXpi10RWOJQJ0PNJIPHHyc4xaDFIH+whccqrhvhIqXLM8snaxuCz9bLaFKQcZBhCyf9
uIwz1q6NqgMWAwjYKJp3NBHRyiY/a613o7vY25I9tzj9pSgx8ZZ9WyKD6FRozRWtFgkob0AapgPa
sARwwCyBfeb+WxbrzS7zxmkvXUbGyjKy3WDX/g4ILnfXeZ63tTENq9LQioOe867cDklaymXNZxsK
hOJ9fmh5AO3dyC6vWqGiHawiJJEyoS/lwltTfEOWoC9FbhiLDd4vDm0PxIAoY6K0DRlxu5/q9TiV
xtrBKVLBxtlUw1iGRlXUu8UunHhDvOaLbpByjtorTDjA47m7q0u92ZIy0RwckyqVkig+Y5CM7j2u
M9i6FUABPeeYE4CMXgOtFQb8kkNLfldg0S+F0rXFAcyVopUWaQlNqk+2/VK3GfQsnwaAqk2xlHal
7lPl6TmmyJ6H4NkvdPPgL+WgWgpDPqm/jp2q3E+VZPnJ9wuCPKKUDCgq0cvMp2QpNIEmVHs/RePL
2eRd5OCYR2spTWM/p0pNmsTYqaV09YIccWBmdqjkrQCNGSVurxnZFv88GY85MtppKYUZs5QH6un6
nqwjxVcoXQKPC3UydGvaGErUN/jr4k3dVM4eRR/ruwwN3ggSYYeeEDUOabMDW0LT5f8WKno2SL/4
ErqO2ENfqnlMw/EbJcz0MCy1fu8l4r41gwYSckQjLhFjA8vh8NOO+ZRaXbpPwVA8A7xQVzMbYsi6
NBjIUw2s7DQdkQZ7tVgakVz30bm6icEYJq/faPSre2kX5o7b9f8n78xyI8eyLTuVN4BigOS97H6N
tE5mJlPvkv8QkkvOvrvsOaMaR02sFj27iHiZWcjPwgMSiUxEyOXWkDx3n73X5hSTrAcaSnyXjqBs
2p+y9dQzreefcD0JaeuZqOZt3RbrOUmsJybYwNxPrPUc1RU6fW7r2YrpTT6sSOe7BH7uQh6NU5gz
5el5NtjAbNQgQNUndeLEh6kr2lOHAvcZlzJbv8NZeQxpgrgMwqqD0tWHm7F25yArpvRIjGB5xwjs
PMXuwu2vNrmTGwuBU1xw2otpZyCxZpXlzL5GSX12rl3Cxlm+cNjSml0vdIC3VuqSEG09QM9mnd0k
RV/iNEycZxuJkEiA+wzwGJoe57SMWkvH21NXSvv4nFk3If3jOTu59WC4DO05obv8rQkt9juqaF6F
0MvT5ODabj3dOXBQkbcip3NeUz032N5W2EonQ+PpNHvyoNhoAkCwCpK+c6uI0FoRhG2Wp3H36U66
5rNjJQ3YEO66zWzD2PVl6HzWrtneSrAMB0s3pyBTbKIg4lvisLC+z9Bf0vzUlul8o2UD+3sWo9OG
vwuPWsrxHjllx3uSEyURhMY+2FSkPJYe9bB+y9kfVq25AIHO1opxGhkHMl2rGRYOd/SAHyO9cUZw
GyxySbUJIc37aOooV9UKGidw0zaA/go7e6T6iWC5ZxQVPSstN4FST14UIHQEYG+8RrE7dtuKdfAW
2jBRVGrCjQj0nBVuW70l4khuiPGzRQphm+0l94J7w6NDvjELbDm6LwVxwysQNPOYoE3tjXEZCb61
zVPhjROowNimJguf5ouItYSTZat5j20/yR96Z+G6J6pgPKRGOx4qOh8QUAfpHj3IaKe2COVhhp9y
kKa0HkOZ6Qh9xiIfPR6Wx3jdlusdPaNh1A7nuErafjNMfEt47RVsSnyeTNDpRD8JauLPcrC9fT4O
+Q3uyuLTKZPovmEZ9JYX4fw6aZw5Gi6QI8NG/qy80rwP+7phf8gJUcm0ue37yrz1eAA/hrGijRKW
ELnaJgmmmQf7Rmrrc9PUQ3GwrcE5FklP/7ubJR/CW4yC+0+T7LXcI5fH1+VTlpn1bukapMMOvzSP
vIWwqkzrLQ4Pi9NxJ5DnXPYIR01PGA36wr1qSpSHKUuMMwmL6lFiprilMad8KoVqzl5oJSV0ozG+
b/WpOBU1/YYgmk1721ZF9TaNa9DUCRPaaNVMqWbuhiRfNHd6wIwo0V7kcucMsXUl74EoqYkF+wES
7jdcEGPA843Wmjqr5BH/qNiVkLo3DjkWem97MtxZk4wc6sHfxLY7X1utE5c4Ygc5D5grNqMjTdid
Fav/OrPpEtPz4UXIsAymuE4/kmKWJ6IALd0fs/2NKyDeN/WYHakLNq5z3HSsdvvu5JSZunpzVG0N
QtRfixWGP9Sci52xKPgicjFGAI58Ks2If31xouhb3tTVrm+l2AGFogOKkpwFhGUbzcGklStmwTMf
6MitN1CHIpBnOBA3U9Ebzwoc8ntejNkHx1jS85HqTlNE+up5NhG23G1dWVTU/2pYsteyJbzQ9C6V
RKZJKUMVBACqpVT0ZtOwTRJqQgHpyT7xh5TgGb9h+bDpw7ifjIjgPZEn3+17I3DWCqgkoQxqcdda
qLUgqlyrotq1NKpe66NSHJA83NLhkfkZKCNrjui4/OqcKtb6qXbWBJZaghaWqaOwLsN8VxkVNPbR
qYJlHs1rurZYERuPA7k2W2lMd35j9uJtyLNxpTxou3ztwpJrK1a39mMtzJxf6dqZBZ7cuFvWHi2v
T7NLv3Zr5etDYFrkRE0azVsd9ZRblhjJAyQhImJrQ1cFygeLwzjvYLnoyJ4hVV5pFul7VfGwGArD
9N2Gzi9vbf/q1h4wJuvxWP3qBmvC7tVY+8LU2hxWOj2BgJ42MXPtFTMQF9+nuClvKUxIt/qiW3sb
++GVpx4Fma4Zvc9rT1nZQVOApZUcGlYLAREXb9evSNFlGuXejgmEmENa3FhrA5qzdqFR/4LlTP6l
Iu1XXVr5qzrN+FWjlq+NalVYxhFmlLVnzVgr1yhBoc6u99ryaqydbBIC35PLnt1BCxHwiCvkIbAJ
NLm1unIeOrHWuznNEEIMTil9AziTnQuz9m4k7i4yD1V1l9eje7CzLA9K2TfPcL26D24T01VN0bi3
2q57xeDhfetG7kyCr44fr110y2L3DzaPV2qO9Lb/KNfWOgu7DuldgcTMHuNzzMr6Rged9kVzkPfd
QzQTUAe9+GD2S7Q3PJS0itLCE+RO+0KeXLDK5RD9H4kK/79xa/66oAZy96/lgkOf5P9sq80P/c2U
KX+ThrGKsfAk8D5aBGb/phXYv2GFNC3W2q4jiM2iMPxVKxCswilB8VACsG0Kb60Z+ftW27LWLC96
gePYTCP/UaHJKi38YattuQjqyAWCAL+OdfTPRZ7akOdJztBJWJNGYggI+cFIhX2KcwMISGT/VJ35
GGuF7Q+x+TYmkkiWZd82ZaLuUlTgV0r90tcx0+SF6y7aepM7nhqLr5UqF5zHJcdgGKxQN5qZkiAi
OT+hjOGPooDXV6osXmpuVYHjQv934iTdNrSs3ecJWZnNlLH16TGj30JKky/V0pcfnTtaO9R04nF2
jRmEcdMLNLcmzUBrXE0Ut7YT3JTx8GPMW3w5mbk8t5bV3C70SqCrlurWdXVmLSPV3F3ndWHQG7XA
6ZjS3hdz63c3srJ6n/lsPCK29Htg/+IJayotulWkc7vN68ivvSrfhjP7RGGb5pveJHJbFDYAi5kC
6C2pzJa4ZYJSOTsxBZa5dlbt2AVtFBrvOgncbefo2qWxtSGImUB2E5AbX9I2Fsh2PcEa1lGGdXN1
eaoeKhNAXOl2j1m34BibfvSqe+DJmj8iq2o0DIv4q0GcPJBkmbepPvSnmuoj3kJtOoy21JARG3kR
ZVs+hk59bWex3Gr0nm8YdMKAwVIGeOCiHZgH70XHnLqfoOAQksvDsfKduXY/RtU6r2Sw4mtra25J
vUVdiY1yRPTgLL3xDfgpNVdTYd/32qhfPKtsLn2veAighLa7FoEY+bfnXetCWtwThyeIKAmDFJX0
K6/odpgAW59SgxkhWrRXU7bzvqiFi8gAHAlLT3XQqowaEeSNA9lOelhyK7kaSaLvgPhU9zFEo9cB
Af2g4v61SAAyLWl1BfG7+NKZ5HWu83ctGgY/46h036JnBJXLmnKToPfDczWNrblGe1129YEuq8XP
qWGAmptRDZjbYQB9ozlAdRm6TQis7lJxx97pDv3rdZrSJNM3suXW64nrNBpy6ypV3w8z2ZBf7wGm
T3We8LYemXrHm7nilU+NVwegjdN7b3btMybpYePZ6pxklbbTUxGt3I7lzJUpN2Hvxue0GVndkrpG
S+rMm8hqja1nLtOhL8efCN447dDQcZKNuT8CcbokHFBJJLqvQsXLjb2IkU6cusbKkbTbJmblrU84
nK3YeLWE/ZTV5X2RDAUY9wXqc5nX7Dx0OxjnFMnG6B6Zet4RyW/aOLt1eqV/6BbHd2tasTmSN1z/
pCgn248NVZsRyRGvbp6qpoQDHFrLyTCQyKxCb/3FTXYRGSfi0fe0cb0Vfb/4A6a6rfTSIUgjB5Ke
qh3QgFBDFdRrHDL5LlbwcyvA9zuquM5E3PVt2sWwiezhoTCGedPZ81umcZjJonOsLx4tNDQfyjC8
Kp2mktg9Tw4guprrUtFd53ctzRS0w88bxjJjm5jsk/rUeqiG6kTJ0SOMP8N3JTcnac894dYCblx8
mhYgc5AEdTwrtEiS9v+glDc+1SV+F0N3WKeZN16YvUIcuFhz+KrN+ndP9hB5XZDURd6f2G1w47Hy
vV3y9y5GvBlcBnnVHuHZZNyYEoxAbvyaTvYT/8q+EMhpJSIdR3ExbQazKp9TO7I2GdysDcT5iPs4
voWqwGftFl8DHwS9yPl+Ks0LstlHWdUXblr7PIRThih14xTRuYioPtYrC5hBAkSlbmtMOmlEPHqm
XiZOr0wSg1/JAW7Z2i/eaqZfeE1ErKj30DtUv1GasIK2bl4bm2bbcbjiCnifDCwHS19PBzpVPQZf
YA/uXAsooVMQWxM3Exjv2BO2q1OR/b0Jh1FkbCVtPViE/qFMdmQZiigwFx5HTkKWPOKug70jUTCi
LC6m2DtoZvgN29iPaQHPHFcEiHW9+uZFZXOIqWzdmXY9Mgb3RyupybuvT5Gho30I1jfptOZLac50
HLDY3/KgOhoZn5DRT/PRo0rGR/4YAQjYQ+C57d1kGZM/s0jbQuqvDgtVGhvTlKDExacqVc2Uq56i
sf+eulq99wrW73pCQs1p49vMc94lHMwkLK4uEvSaSUN9w9lDJl2FWDxY1LnJ6GMd14JuLq4LKeZc
kkKNejod8ujZ4Ubqm4Ozs+LhDlzbhQlDZ4vP2gia6Bd+7MW33VzeM9rfZW30MfXhHV/jo5rl1kTv
9buh+NZa5c84sT6K1DwQuM79Qoa9P4zlgYgI1KgZToQIiqY+spC7Uy7GnMaSVyPOz/3inGi8of9s
XD7GubglbHC3DJh4Qt1IgnDWjpQzX82xVqe61XiKjCN0hIlrXDt5tIDZdHtvWnSwxppZeffgrxuM
qyYTNsPOp8ThD60h2jF588KYIaiMIcDmNRRXZPU5KqqzJkOyvt70KDLFmTOVpIZHmE2WjaV8UQBX
xTB3hySBLgZX9QLfFY/RaMZQqNjCq0R/zagJDKK2wBWFX+xaRyYOXc7DeKcnHyUFu2iDyXmyoZIV
DSy5ciFQFy9oFCDoejYQxrTJ547WYotzr1aIC0jPnhlHDzecLVaS50s2YRbgbPhREMLbJGriOE7i
kPI0w6/oI0I5iymHs6EEelR0FmlibR0bUDdZX5qbcKN5VF4lvW8SMKBYVahNFo4RhapFAtWgdAOe
H696xKOI4/fFNdXH0vcNfzYZQ3DgZM6ixDsJnsa7EeBqgCcwZ6fhkkAU8qmMUAkGSgQ23rSAETcW
LPzZYvtmnxsBF6K5o7bH8PXYFrulazg15sVzh/5phUYTeM5Mf7KhPRMTWfazsrrdMjexj20x35cE
KS+tBPJheVEbeItjB8DrsDG1goqxLAJ94UTPcw5lzOO7uWnilrY70zyNkuW1nhFopr/LL7ENrooi
fw6qw6Yy6TaJouEuwz2TVt1zTgiYGaf4qaXTeGB++ckJHDZCZV/ntP5ZyDzdRgkb30LrGX5YHuvj
wtjRN/l14kuwo2LYuGs8hztoLpm80P79omDfP7gge6OuaJgCQMz6/KJPjADNtuD8fhl+NXrMYQrd
2ii4rPow5Zg7N9RBxJazC92W1YrLHMjHRim9SuioQpnaNagjPlywcGdKzuG1xABJjCLhYDwvGzVV
C8uengqNtHRPmp5xcu+a9ljRCnCTOlrzRP4Jg0isKM1uuvFoExjf99PyE02SsjMzkUHY1dG+ISB2
SD0iTzZJ40MCNoFnk/HUsrbalPUEWTiez1WbND7XTrWxW54fLMjvnSnmknN7YkkpFbCRrANGsfCG
sjRtW9LcdmPwmPaHQek7A24gF4W8bSwdeWVMdaq8cPqlVGT5ud3OjK2pxgNMA/Jjz9F20rTnqjHO
Vlx8B7/4PHPov5+1Zv4eEVP1JwjFiLNgp/rVHhOXI3p39ZFRxvkIjqbeZMX4KTSTL4/XMCjaKKRD
jmgmawwATR++Idw6zp66Lrpg5DJk22S2hhObrjjAW0L5gu2g/xJTSPcznjGsS5Ac23FmR1nd1qGd
3+btMJ7lWCfPrHgtYMbhV6Opux6gHccVvAUYKo9JYwIuqBsqhXozuXZ6ioi+tvOENQLZrJnKFznX
FJ6n6FJjXl3fl/yo6ty6V7A+udUNb30xiNspHo6w+sjziHU/tFBQmxkfZAmcKw8ZvDGNI313tsSp
5xvCcDRQN5G277Vo3hNaf/yl9MpHate67aw5MJ9DYL/ahDziYfV8XMb6wdRak5uSnptbsxgyulJo
4zFtIsQw5qiwcFuDKnADhrC7FPsm5wFcN0l3gZCHSuBhzmsjnseEXChF8dY+mnXsHxjYb0ThVFS2
o3piQHloo+bei1i+TFPZv1LCmh0jgmUBi2+GrXgOAxVVJzOveNQXcX9H3FyhXUryoxIwXVGD4rEG
Sjccu2q3NqmAp2bIyHPHWrnn8RbdmV1m7TRuXlRGu7ZPjfvrKGuqe2W4Priy4kVrsNg6C2Q+TTMB
mQppd49rLx4UY/RoOiLxk2Z0KwQAUNyvurPEjsLdzu/jJd95cZaf2Ot7AYvW9CNb+5MUWYxDqs3D
ZZgdA5vl/EDrS7utbd0BV62ziM64J8cOHl7F2D7YyX0Wx99YfOZvKdPxS668v1D3/gfoKQa2h3+t
p7y89/X/+d8t6knZ/SFfsP7YP9wXBgUHghYEQpBgztBG/qaomL9xxMXBZHs21zk+i78rKvwT4Hn8
R5is9mw2IH9XVDTjN9Ncf8azkNRJuxKB/U/sFya6ze+CAlgGTM/BD4tFZP1j3ZW29nskos0OSA59
S/Sd/mBwAKjBPInHvvMnY5mw+sZIqR0dAz979GC10YWznN2pNE5cdsPriO12RZsY2a3Z0JlJaQht
0pptls+Y2ngyNt5QbzMzidh1jnRhVtbwMuLAC7LZqQOW6+4uFlmH3Mm/0tIqFvQu0AI2w1eszT+X
ZTgKXEmq6EDImqbBHkKaZ8IUBvgWmfJfc3KaSlijPOW4WmqKSeCSEl1QNeHPMs22JQEfXxRdgiUr
tXBFJukeWzutf30nDrWpwmBoFu5ztRQ3GgUtbMzHwl9pBRt9nsQcJMbQv1VZ4p4qc8Rf2uIedado
75HO3Rgqp03MYMuIRctLBmPHMUzj+kq1+2zRmTtMQwMYIprtwgbNz7pY7kQFdtkxO+CIqaZv49Tk
Mm7ZcssCfx1Dq9gYpJg2uQlx3rUzeDc2BzXKuUGPaRonT8wVAdVHoz9qVb8plNmwxx3FbRStG3Fp
tkFbZP22s7j3GN0oL11PuJKtI3YwbWzvIkfTfuaJrf/ApSze9IIzkUbR5E+bIX7bNG35jbfB3GrI
fligzWYjMOn3NFUDtXebKDvx+Xq7MlYY8/EoP0xGbnLG0GuLAKyUX9bCUV/QiI5Nn9kOCFVKOTY4
CYm6UiXPka5Hrx6JvoCmiehSxmm0BGauN9OLDko/fOX9DJtriOhsvuNvhCJCR8UFmZkstDK7p3Gh
lRzsR4//gZOGYaRjkBta/ZRZnvpWuIqJWeWDYBxa68BzQbmojroSKCHa/TQUcNsJ0X3JOKtDvjko
NpvG4SBh5I1JinmEMu3I9NUr8cbNBgcZhH7FFohlMxVMZY91hNWHE2s8y8lLn8j28jpCAPlZp7ln
coHFl+2xo6Sjw7jzaPV6tZuJFeZgpO0uE7VxDjkf3GE3XqBhOdYzW5X4e6MkxLGqi35WusYemJAd
IdDCqXdN0UGj7zWnCFij6vvGgldkpWl/O8ZoRDuqHsJ7LIvtlRln+BRRLRz6LD1rL0WTlrtSNOyl
2Tfa93Xfj88iITFQhYV9Kcu0exioGKQ23RrqmyFenHuefvaDQYSFktfE29rV7NhsyCUTNLXAD1yx
XLzsHiRSrE5Qk0mWUiosIPh+iRzAzafeaJPqI4Ubw+q65M70qINg53xoN2qbeZWz8UJyIlkGtCEY
0hFPueFo73j1ww+gIvFOJA6phzimTW7DeSL24MKY2vdpcdrdxG74QfRYpLGrzs+xpGx5I8IovyVh
2p5Tx7LKTZhH2GkBz0LaTqrwhcWGRTKWTzLxzTCdHLnBKWySw4/jW1HpsElaR+FEnYgtKB1FCwYN
q9GpnpHVpIS62/xy/i5WS8sXtJhBt7+Zv8zBQmXzE2mj8aOpW+eWPud8P7oY2HyOtvCLV5tx1KyO
40KKDoOtY3JR24wLa9UFMDxmPtwwdehpPe1pqKjNL7eMVb4lVF/4Tk38t1W6gnS61gKuRhu3Ts0T
w1hDbHJJ9s1qyKFmw9pXS/2CRq29LcKkSM9ZIj/ByTO0DYOTWQP1rS0t6Et9VxiZ9HnEIQhQrOCb
qy1oqRg7EMXJE492vrWjgdk4sjTOsgKq22ouavAHBsKswr2zWo8gXS0Hvu3xDfd9sSGZtOzAuYC4
pc7SX2KrPpaZY26SxSl2M7+Sfb7n7RES2r3dhvpRg3BysPWk3IdZon+vs5jGijHWHlSe6UfT7ZL3
vHeLQ9YmlNrmnrUraqs9TAjpb4UAw2esRix8KZHPDSbcKEMs+4xx9IflEp1KM45LM90Ivru6u+bV
56Xl5rClezoMxOoCW5ba2cCXSI5pztW3msUQT7GNrQayRqQw6ADt7HOnrjAjestJrZYzarrKS03O
hRrcuQ/gN1gB1h+xBiyEz2CMaLga17R2PS7Hq50tdTHDbUZBw62z2t2qSLYvY1p4PxQe5wC0dnbC
hysDSNi4zAZYOYUZVtslakH0r5a6scEBXU2Wvc+K7JTN3ezHVunBfu45znT9CwVqWhAlKHU9vDse
7739Yuo2DAG7rtTBieeZjk01cxjqaL4D37OE2kUXeb6vf/kAo5pxeOoE7hagLsigkzKn5+GXfzBL
OXT4pJKKG6iP6mVYrYbEB9kkArROuZhspMG2xavB/QeLYjyaDNg1WqQ7AjiaVFzeem3W3iYVZ7km
bL8axuydWv2PGOZD3149kdHqjqxXnyRVH4JmaCpDQE96N4gu5FVqNzqQr1aQkCLtNNh1+Lb0eUR8
mtNHncoRhyC2OVo8BzLMeDad1b0ZS1iiy+ro7CrXfUyKtrumvR2D4+dzBBJmf/Qycknhj+I8sKPm
A6gdFcA5b++bltNNMzvFnliXtZWrrTRV0CDUajUFeu6+dqv9tOlI4IBeyhYX4JYW6zAbImwE3Mvl
BnqgfWYj1L4J0bS7qJEWdSQKE4xv27boZWClo/dcmUZ9JDevXXKPgB2ku+VBwlm40wUVMza++luE
kvwB3LI6JZK8PN+iCIi27hqA2eVCLj0sXGYMU1uW54avx9Zx6/KqvDk8Wy7AMOhRpnE3Ipad0BC1
hyyMfsy8IbvJ6e37cISI0TDhfVD8Gf6gNXp5JqqVfWNCM68VX4eHaUnliZ6k+on/axyoCxifU2x2
d8SO+E6lfa0OqZrLo86ZfRtOVnPIeHZuhUbQXqWrFsgHM4hAI2V/l7qE2doqdALAGc1d5anyuSqk
PDuhRgF1RZMjWgcZlU06eWQY6N4GSy5LjSyLl362nVJbAYhkO6OiHRKOcje4/VK/Fa67Vzrk7w0O
FucqoqnipJdXB7uf+HItlnUmrJe9wlvXvuGXVnehalweveyq7y01uS8x5PAtSVYEVXvSHlNgZfj9
0jUMAbLuoc2N+Yl6QDZgmY2dtHBJzLdN9uhV2fKaAN7a4/zhQYq3d/Sjwg5vNcx15saTQLWwj0X5
k+X1MEvYdewWURd+R7pjz0ayfg6Nufyu6JXy2Z/Fn5ZM2guOk/6BoqP4yZ3c7Ame8nxcIqijlkYO
b9NHRvUuNYYZFwvsJbIsZl5twjUp4XgNBKqInM29dSMzhVFTdinOV2XB/cMVHAe60aZvg1Tmz0oj
RHlmLsBJwN7yWHqzgq6N8htobQ36CxsC0fxYkJ6Hy9VQzcPmkef+Pss9TWOR0VOOXbV1agdNClks
nF3xMkdpvPVY4N5TGYiSzf+EF2Ah+G978PEEHt3y0KBjp1hB4+ygZ0X9XSZh/B16afIY2pV5UHku
nwTu8fsEuw0lwdS8Xpp0nZiGImyOANgXcC/tXH+Cn1t+UMDVXDI1cD9b7HR6q0NgdqAGhxL0HYQ5
9gJV5T4UiPdbQ4T5uWN/usMLl34HANI8JjLhBZbkIDKsaXr7cwY+HkRM6GcPtso+5a5J5zgsvlMr
nNLcdOMs5+049UAicG1jWHInUhfTPL4MhpZdcCGFFzsdGN+x1oE6rgyVHeIoDfee0McD7NfuiIWS
P7qt9W1oLIgxi02uUO+M7lvK/IFup/T5Z2IqFPZMB00jjNh4NOgG1gLN0LWzHbG5gbGTvBhYiL/1
OQX1QadHxbsziNi3HYlDTR+6cJeRpqPq0ennC8cd6qcSZSHppnQzTFQ6/+iUCyzB9lp23bPdHMuI
Fl7WMgMCtxOOmCvbeHH3Wj9lD27NfXPTmLH4IBCuEliUbhE0lXAOOFbqgc1rYpSbGs7IE7WR6SMl
Wa7cZK0h4UQoeTuOho5SN/X92dNZARWOpp+LfACWokkRbY0hsQ4zu5vX/ynmD4tgx78WK87v/wXY
IE3UP3GArD/5NwcIHAIQObq0HYQBEyLjP/SKNS1iSMgCyPocy3+nVxjmb9Ii/IXyrINWQ+r4u15h
6L8J9I01KWL+57WN/Dm/Eyssy7GJipBk4VtJfSSVSH8UK9im5eUYos1W6oGqMF+HhGphX//dO3P3
F0rCf5V9cVclZdeuVIg//BpemYG1BFGGPAqMMdP5Ezwhd/QoXzD2bUe2uwYTU1ix0MEZmaL2DqbY
hxF1xYN325X/j4aKPxPp//yb/xSGAfXLDd6AHzoZ5PIDk/YaQATt5t+/wBWz95eXvUIw/vvrW9/m
H+8PSRmt78b/op3T1jWcWuxMN5s5oEc5wJay+/e/5I+f1fpLwNFSaY5UBSGD0qo//hIFGgk2iYdG
zM643HGc2MZf//5XAH37b68EfVNAnRIuvhXnVwnH715J5jLFAO0NAwDXzl53rF0zUKqGyqDg80xZ
OzyQ/GU5ovB2gIMAbvTdzPriRIFTQ+leSwZFn5L0SWkqv+Jo4IE2CfMnPB1SprjrLxqbF/CO5bwc
OPClW3skzrjJnDa62vbMzsiGD3lxbK14qxswNlNYqTPWjOTGTBge/B5E01uphOPjhjUuLcWRnyg5
pD4xx0qAO2FmXCke6PYNMs8dk6y17zhNcifvZ4+/eBiSIliieGZKXncytDFWNygCOe3voWV/HwvT
ZCtuxV4eHcJ5VM1PSRdOu0WTm3A5GCCW3U3HEhANLJ92uheGus9wnOzqcNStXdfjGEdIMq7c5aMD
UcDyXMSmfqMWgEMNmCa/re0QO/sSd5j5kn44pkajNYd6kFFNOojhBwZGNFlPjWYO8mDauXGz5JNR
Qa4rE4cNAkwQJZn+NjgcFhSZoqw+JqTuk9OoUd9MbOpMP8wK69nEN3gZmwQNwZ7nb5nVkpWFUc8h
fiLr9dMbR+wbAyijECsxso9GddZGs4ZhoRPHtthBgd9w8kLs8D0PNDIIiG7ktPhLTpqRb5u0ih/n
eIi+511eXZraABfsDc2eAoPmPMCpuBiZNhL9DYv9aFY1q0h4FpVHyNWRFBwSrUZLoFh56w7MTsTn
2n3HpI8x6dNqSi5Yg5Ob1oJAUF43PmmRILkxMidUCT3Lc22YZ7kk1SOb7Amdqm0eqSrITmNKQ8Km
xFObEsix5HFpVf6Z6VF30lj41k/ITfGBhUa6Z1xzONjZhXfDl46Pnxjy6opQ7wo23GFUNh4CSkAf
ALwXPxRV48e+xGoWsyP7GOPOvULOEFdhuwaxjMJmrRBLBmEyE3c9GY8ARGpe305ky/mwesMgbpZL
NOHcit4Hnbd/Xxrlol8KpmHjRi8k+QB3BkhlNEP70NOK/qAs0T3W2MTx9GfwRfUKZztMxFH+YBPT
LAQ7IpEEuLQbUkBD6n1Yc5xQxTp0znyEbTSsFVW5nexHcNDmZjTnVXlIMIC+txhvaEHowL5vxlZW
b1q+iDZooNpfw87JskvXgRdYvbfUrFaCmDEdEZqCQWCYHbiupWCzqK1OkVE46LesaC4DDfDofK0X
0K81+InjIWU4KaA9NIXbXoKv2rhOKL5BwfIOC27BW6ulPIy517wbfxWKhZl306HpXE1vHp+yHOYG
ARjR48cy+TD9jCJeqM2twFcbqhRbkWYCOG9FYgXwbkQLpLqb7x3of1/4bswvB0nvE4ZIeJ6HvNuO
owSHAVB4PQclyY1hwgFgXVZ4u7jpJ4QEnRrVCEFi263VqiXSAZtaQI5UimjJk/GrhpVksnXO4mo+
2uRGbpRG9Se5J+9QyG7GYRRZje9aIf6B0RzMx5SN+Jfxq/W10vTyi5zE568b+f+AFdFqUf3XU9fl
q/sn89b6M/+Yt3SHYcaBa+qREliJUH/bD8nfPCGYwWg4EpYnHB6wf3Xc8k8I9ApuLIYr2SGtc9Df
Hbe2bqDI86PYdR12O//Jekg6fxyFMIwCYV37dnjKUgdg2H8ahaYuQQGJvJJSXSn1QHT4ojZDSl/e
xiWllvt27qr3pmpGbatm077zjFj/GVerN5CY03AeQpf6ml245hUIGER3U5Vw07O69JMrMXw3h2l5
mgvc88giwOZ1WY875c7ebR8p2JryV0Si7FB07MFJWe033aNpmBSh2qo6NBwEgkp3xq35K3ShNa3Y
zWsSoy7z4std0xmC1uJrMYnuxANMv9FYrl7rNc9RDma816PI+db2jgNVwi2vXWMnH7SwcSiyJkz+
IiOuuyZFWAVgnknodZG4OsiStIkUl2TNl4Rr0kQByRs3iXSbbVKoxVcp5CwI2flxiKyUUKLbfo3c
JkH4yfTZpGQtiGkF/j5Zfb/tYxK12OvwZnE3fkjXDIyg9ZL2tREOEiwF4/+ydyZJciNplr5KXQAh
UACKYWvz5OYTfeIGQneSmEcFoADu1Is+Q12sPzAjssnozCiJZZeUZC4yI5M0dzMY8Ov73/seZBS7
2M0MQQhaC01nSmySkVZcXTpRO+fUSvLHFO48HSy1W5/ReaM9YRrCUF3rkvui2yVyJDaaWvMlxktC
Vo2WUpJLlogEWkqdk49ovRsIUYuV0jLGu4S9f7Ce5j67maJI3PVeqTC14Bzf8GbZp2DIivOk/f6r
DwEG7gA60Tkg5rnPS5z/OhmzL30wWVc76Zura1GXYCxRpnKYrXvUuPwpCTu2ZjjO8UsQfiLsmr0Z
uCrviyUalS0hKazQ4X5aglNOnhGUjOdgxLuapQYd2GXy4hkL/NuaBXRb9pE3OSfh49gH9jFhRfg4
GFy/rP7I4SUMq0fHH/oDodzhkTeCmFfZcda2fCEe5h8xMH+O5AeInuDR+hETMxXRm7Ud9Jy+zSVN
hitHM4d59R6ctH202NNDbyV/VkY9paTWj1SaX6X3C7TnjrQxGx+4WWw9siXLZgZYnrB+LRE3XeM2
QQoj+NaQBHwpPAGDfqrLM1Cs4tAs6ZKiRJlCqCubFz79JUxXugTrIrAQa2dJ2zUiJWD7I4IHfTQ7
GRG5PBys2MbB2RLNnkTYEgrDaHAqYi12I8/Wp0ABREccIv2HxWDtYbxbWi2kvMXR7R6GJTE4/QgP
spgi0S0dIoXY8seNveQMqarsroXV+aQSfcFCxfTO8xRBYjNpvTtr9npn50d0sZU1K2LP7HvYFKuo
N9u4Ps1Z3u7ALIH7nKL8xrBycWbr4YpTJZzpds6d2UHUM1OWNE4t77Th21s3iMVXUQI62CQV3+/d
rPmyWJ7RYczE1JHirfBlQUvlpHibgFW8xnEG+wmjyXhKocm+ObmDfuLpklMjgHm00TbIRzYx88RR
Zfa76UkVFT8vrNDmK/I+mXeaOvoXHr/NuONuwAYD8WL8XOiYN9hhLHouTVtdTEVOdJUT1jyi1Okv
y5HgG978+hMfN5N5o5NzkCge5J1vwxhKGnEfW1ZFNTx9W+8hXOJzZFXq4nLU3gkjcjk2SHA19iDq
ibC0VXQrS9qU2gwwpbfh4LC0yXN5CUjf7BEzyfJ0RrrOJ7vc1E2H7EZvkL7Joilcd65+HSyi52Nd
9ISuqEQYgyk/D04qP4+pZ68r/HOfXacvFMa/0bVe0wkjO5txh/0EW5SlT6PU4jNt72WtQR2UtfEp
dRneVt7YiBWMBwC+7Q+Yb1vaZFt9MKLxxmO+mreESoD/RhQdvNBj4ehV/w88MD6oe4cf56zqkaQc
14h6GHwXm9tkkpRuF8pw+Q/gMIoRsW7chfgd8bQ/KS1AJ8GUbrdBIlPODAqDG/tg7kNonikSrmN8
s3+gjpPBKhbDIGttiEhme8ekWX0yWiH35AetmS8ikxqT9IuXJv69x9GN9fwY8tRJyZpjzTGpf+A7
N5l8kxYos1QZfObW6Qh9LtBmd8E3+0AOb4XEir6ZhKfOTkhaRPZt8TD1tk2rFgjSspbuNkQUO9Ba
SJdFOqYEDSwORdIle2ykcQXvtBr3EOnsI50xkOrdVECSSRXZwQhgkgNYgHtHWTcbLxzcE8cGYzMW
lb5w+qIzp8U2N8ZddssBiyoyCfJMdSH3DKIjcCz4uE+gyXNcmolCRCPT3OA1PlQir8VDmeNWWQX1
VGHoorepIeJlBZjPkBTRdEdcWDEQBHMlobTKVWEiKK0a0+yrlawjdcH5j1sfRYDmEc69+S2J5/it
1OxtVrXyrXE7zCp/9O0qv+sYAfh+cQqN15rlNAs59gYv0rZivS6sxiv3zYREv+KDIDnnZf67F6rs
nbeQVVcOFIx77GRjcS1kWuK7neZNFTZctmGuqivY2FTC6VYSAl/ep/dtMnLn7jMTNbXRc3mQWWMi
1gcUx+PK420Kx+EF02UOnyJt4P2QSS+GfdhxmOakwrKvNxw20QhEjBnTHK5DauuO7uyKfivMwXkY
+ph2LBeUzkUnshUc45vppTYyQdgeL2nPmxLQyMWlEfWbvMr6a5br6i6NSg9ab1hb8HQI0qKbtPbS
fVN3PEiANd6VbqkxsI+dyDeNQQJ+LZTqL52bB6+WOWbvlJhUV2hI8/eJrQa3+m78lDuT3ivknofZ
qRtjTZ89bv6oGuMz8i3Nvf/9B3m0KU5Wfxmdu35pk//839XPVq9//qk/JnmIsDbzs5C2b/rM64hu
f0zyAR2Yi3AqFs8WIPP/O8lbv7n8KdbcgSc8j8H9n4M8uilsnoXAQ6DOJs/hun9nkv9VjUM5Xdxn
fHE9F9gSmtmflNNURHNu9ZG16Vj85PUIUOQY+p9+Otz8C+H0zy/isxuSJgcT02JeQhD+VfIryYlF
XQr4gefvNkpfO2HsmYT/+kUE78lP6uVyJJG+49uMpvCMJOLir68yoeQYisfRBj/VztvpvX0ezt1q
XIu1uKkeo03/X8ily3vzs1wKjoa2UT4CXtlCbVx+7Z9ExjiN0fwQbTZF/Z2E3j5pq3PSVZvaVJeg
f/vrX8+xliPVX73cohH/9HLKE2yfC8J38LrQE6fewpPTxwOdkAHxHhzdl6YdpjNlkflG5nm1o6po
uA/LYjokpSyIPQRigy8cRHZRQrOo9PQ0laZ515mW/1ByHW6prm4/KlnmZ6tr9X0des6evfgmaps3
0+wSNpLIA090iU0T0J8IoQR/gG98CLsVlIaF0d4DAnecmwTvODce0vvxPAx3w2Cp51TFITmVpt45
AIcxsiYQ3ICJNvuuHsIlZdEfCujlB7bR2CBoTcpJz4Te2eOOeZgsWW6I6CG8hNJMzy1fxX4dC3d4
8yLZPTSE/c+etvg/hQlrQJaNxB+D9sKc37143DvZpxnCfRFBwvyBIyxBjDPtBzQzfweqjownUQlj
N9qFC04izc17RmQgNMHsvHqe5UhkHorhGKZ6FsbORNS0cQoT4oMX4BOrmRcwHOCkMh2HM5eHn8+K
W3mqGUh2VhTUr73XFC+Ub9H1F9WSIj+ql7hgY58i8TGBUYNZrv+UckfA75jTVBAqO7zyys7O4Ot7
AP6C0wfhcPYpKYzJnVpptRNcEKsYSfExb9X8TKENfOcSdEgBquLr2Jb9ZfDm7NYw++iFJ/hwMGpN
hgOn5X7Klxy1F1QABaqUfLblDeJBxYRbaEfEZ1xohzJZDJnybNDReO45mNN8Szr2iNEuvkOGHnlW
43X9ksdjt60xUO01wGMy4DhBH/3ZDr4bbVNv29rNDp7QtC6NaQn6H10NJNOIaSejAtY1sEalWdXu
mRrkS1MsFRkRL1ERC2L3f2r7jCyKiJXEZWmK5s0yawgTS6gCqEhvXbA2BOBAK2kzPJcBeK9eT8M9
c1b7lYFcvGJqkneySbGgdTHAj9WClpUAI6T8xOqrtlZQGUW7Tps+P4RGPwPIzsf2hADu3dZVU1zi
Ro+PXCD5Pd2e1kNT20S4lCPj69D5+LJsoE8YzsEDaRzs5MhIos3GvSkrNfEudxKAge6zMwWJ1c2y
priDk/utD+rhWz9EIZQsEjYbOhvcneaSizeVY0DTdsAVRFvy8bwcUZDFRNt0m0alxT6OTUhhY5k9
U/fdXvIxNQ58Hfx7pXy3XOO+HVZ5n+WnKDGGg1VO8jvTTPwMlLLdOJIQ/7oWpYVVyKdnA8P6lbhR
S+OFRWLN91R+rIx43JDdcO5o7pjWmKu8S5FgC+1H3hFwf/29X4jyi12AhClHbfMN8xAWYS+GD5xZ
0xuO00idk0Nz3lg65jcnCvpTZXj1JSfeWaQw3VjJ1OfQzqvHRsR6IyuTwY3MpzhRxhoRNHS96SOE
BXEbwfi+w78ktwhgDYnNpDVX9IEZ+7FLISdPTXv08o7FCbfLZ89lBR+Zugap7EVfFf14J7yV4puu
c8g95hi3pxxw9G0uxPQY48a9iaWsd7qaoW0MLX7ZhoKVdR7PT6EOppVkh02dbmJcdUe8MDUt2HNR
ON32iQnY2g6qY0ew8jjFQtwW2KZwWqo6cE5xwOe7dg1H1XySKgX5HFR7lXjV46hNZPu4ht2psWCs
ZBYVl2lmNFvHFDUsbuNhg8CdbSar9wGLa9emQ2WmdNgWiaQosZr3OSydQ5UnwFwtbMRfpJrST2Pr
qafCGNODJdzuVCVSHkIXyHPNLunYKUrZWO8jWNPJCvqUp7KjB/rz9LLYAXC5qV2kKRoMDOKKI+wg
Wfdr2OVkXptSHQ2J7Y0llFoz7xuYkfmHHPBK4qopjbXvg3a5ymyWpgjdIvkyia5+YbiHN547bX/k
lynYgwzpvW3C0s3aLn/sR2nusnBOj3URZc8NOM1bznBq26dVdI+j2/5kUqFxE1VJsA5cgCU6Hd11
3s71FuRv/SgjV3+nhQV7koOzOAYZ94Cxp9xTaWjR12BiWXPt6sbMNRy93l8cmJGcd0WGVwHXnNxo
WU5HpwaDxFjsX2aD2rqpakyLBmkDIY1Dur6rdMZ75LMxXQuN0h+42rjGynfutOmXj6UErGZOQ7vJ
MarBU+uNisKkNk3GGxHo4m7sGv8j0Zoc9GBlxVWOsEeIvDURGp+Swa2USUvGnW5cKwmNbY0PreWk
b5pfPKsJH0MSn59rWbpXNiD0+hQhX5ptQnou3iIlertUW0XDvXMwABCzLlG+nUJrcnt8piU+1g6j
VZifeEI5kG2D7pCaRv5QR2GZb9jGEN/Fxo7iUHuPQnrpJuvZlqR4ulbw2Mq3AesOFyGegE9KZOVt
j2CzMTCg5v/FnPXr+IiSDTgLidlD7V6mXvtPWrNJZyjW80Js2iwkE+8n422V8pv4aRhv/nrKAjzx
5yHr19dahsyfhqw4dOyKbbC5Udv22G/p7lpXN/kLntT9dKyf/Otfv96fR0gHFZ3dPq4KB34kFWW/
vpwqWfxh7V4w4AtQf5aTtwnbdmDywgZDn0l2mJr9X7/mn9/Of7wma3ga7qVwf8yZP/2KZYqPGxsO
MTfvoSZBUbUbnyX5X7/Ir8M4W36q2qCCLGcV9vzC+dOWv8fmTCS/YbZR5KPXRFlEvlb/1QT+r16F
BQmEUsG9HqTYr29fqUwgkIpXqSb8d0zik25ufvwif2sF9d+zt285qUqTL8C/31NdAdd9+4+v3/7j
8UvZfSm/fmv/fNT98Rf8cdQln+R4mHECukp+P8/+cdTFJGSzCPHpHfnHQuufS6vgNyugk860TIFP
A22VD/n3pRVHZw7gMqBpzyXz5An5d4669oK0/ekExWE34KCG6YS9lcf9xFmWWj9f+eYwMFjV0yaY
sPmu6r5pmL3lgidGkedJ2NjT3Ti07qcFUXCTVm24S+uuInmRF5Dk6/kiwFxfLTcBS1uXFqpg3AFJ
mtPgAg6qXtNb7fC8d0gx+/1EVdcKBGHBAJJl5hNZ+yjARwmucDeZs3wz5664oN7UZ5889bSyADEy
0AiXvteJLd+zRUtbjSfDgF2FLVW/NE7mn5yuGZ4GD6zCep7SxF51dU+XmDd4UAloNuA/y9nnZNZC
oCT6rfPsySMryTO4cMV+dHTwJbVDsk+UMNFIPLn3SHPquRir+jGIGcUt0Cm7KK+tVzSKfBOM7Igm
/I+0x6o+2ra9k+2UhAQ1GyPrCzGgHq84iQFX7ISPt55Z2+wc65QVDUI5ZFJvjesErEbF26P9KEzW
RiQp+7ZKe09k0n3FXxHfNnP2vSq7muKK3DubXmU9w+OpN/mgAYymhA5kQ7kEbR5yF5eWdbS0dv2F
rhJFpGcq2megVMXrAqvEqjYd2p1k5RwAwKVrOAgkuxpTPyt4u+k7NpS+fSBfNTbPSIzDboxHfytB
WGyBVeAfof+YIViptZnk4zEkzrXvGOQ2o49zBdDeeJpLNzpHYhRotGktX8J8gLFBBqY+G2HpbtIu
MsUm94X5CfZK8wYbZ7q6MtQAa5p62PjzgF29MQsyGgI0q2Nk0Q6ATUDGNC42g596Vy0qte4Bft8H
g/Qe+AyGA14Z99Woa+Mti52AHhb2EWvN1nRcmYUHKDaTzUPAFq0E8xPChpdOVFFvkyjvTtQdJS5Z
bu+l2wiAkY2iZB686HNjBvQEB1CKb3U4jFfu4fVz08lawXb1vKMWunqCBy6dbSsa/xFkRrmPfLzT
/ZQx3g9N3D27kde9hVjGd2JpFlojlQ+vlRL6YAdR5MLqawaec67bn03bqHf57PfPtpjd+zTQ8inM
k+qFBF2zDbhw+JtFqE+ND2tAcyEcGkTcRx3iVWl7JTWIdhU+eVhmzm5U0A5Iusp+zUmD1avWH91D
F9T9JfYdElBxmF4So7SeR7KwEH0XECaxc+ATrZHtbJKNzNbSfElqv1j0hvgjI9z4LcuU8QIfs91F
1MsfTSv3Hr24zT6LPojeh8ibHizfqU6GHE0eQaFVwbcZceqW0BN3Q6UZkXzJ8oPvrxF+BWRadXuD
mxTN8SUhhtJWaM55YZ7yKc6OSCDhxXWzkZMoPyLvfOtNi64yPk1EuW5Nww6/NBPdoGu2DWKHH5se
o8mesmcdu/b31KFmmeJLAKpUWqdvTpHU9zUaIJgT5dpvqOsF2+4F3EtDCbdAVioUR/QB3XNxKPRa
tYNzAXdkvDYcSgGE1lgOAH905oqKFfEhS3zzYE9setvYj/n8cv1SNTiKgtxK1mMxn9Pc/Vzihruy
pLU+8qROzyJ0tF5ZStQnxHd6EOwgzt9DhOqjDJ38A0mrfDVn17mMOhWPDPrVhUdCHGwgVLlylYiK
hu7R6gx0mYQ1katlBb6qGWzcXTYU6SpNugNewAUXZWPDodiTvITTUByPQaBqXowA7xyMC5oGyqS+
8fogvCd3nu0tOyBjzdVvwPfMwlubI+reycH9iqzu35K5KG5qo60vQVUZe4PN4TkMu+arSXDvOMNJ
ZYOIpubWiX1P1TwHhyYLoHDT5JY4kk0TANp05XdRfleTj7zJ7LQ/UaDExO+Y7bowZnWHnWfcx1XX
3KSs0Q4pGcBjkrN/XxEOsp7dLtFbODIczEq7rlcwO3Cl6wmWkJjs3Nv+z8zzc9GbQDr990PPXd/1
xZfpF1VfmAzpwfLn/ph1FrodtzCuKFtQmfYzPt/7TWAIxRYDC99kNmUq/d2gI36jxdFjAEH0dwWp
KiaU32cdw/wNPZ9BGSge3hocPH8rwM1B9pdhhwA3QXF6Xizfp/UtYC77ddhJldnnrJeKTZ0v3sXT
MEQqh6Ld2s5DRuLAoyEj7D4IFnFzqBzgzLsAJPcXhMDwc5Mb6D6da+GKbKqXDCXraoxJvOW7HVyt
OdWHOI9zuR2k41+gFPdsD0o1nlUe9x95UeCJgEHn3JOHGMWqc/s0pTgN+PnaH4V/9oNkflGEuXcJ
FMrXtGpS8qv8QlfMd87SNyzfVDEZ0LXmYpeRewZgLKKdVkUhLkXaE3el8QUhECIOa0k7ofqmhx13
r2uqf4ZuGHdJBvYSI3KvNoC1sxVv2XAJpqS7WsJpHnPlEmc1evO5xwNy5TDjro1yKQHi27W0uHW3
UdJgVgmgAQISpmRFUjLXGGLXpV3Z7lTdSgrysjm9AykCE6cvRbbuFToEQPq+2Cad9j86TtIRDtUJ
RyjVPMG+crllrDBYQlqOch3tVcUQSyycbk8A1YVzNbs5v4/b1t0KVLZmDTBWom9gSllFk+5P82BI
uudCidZJfZC7IjNo3mGNVRsZdBa0Jyd2WVNHhd7Njca5Z3oRUYnZgXTiqLi9YTb1z4n29GtGdepX
2Q5gmvyFO525RWZtMtttv7qzI579SRCZ8/r+JfUrUJuNFb2qMe/njdc53uOMZkvMv+9rdyWTkKZU
PAwIVFVQpjWhaZIgKxte5wbqDPSn0SwSGMyJ8ykCNX3jwBb7BtnH+kad1Hjj0MF67ILybNlTeBpl
172HqVNtfKKlB97gRT5RMRJEFtZfszYeMXQY3Lq7aXCuVjc1QPRVfYjEACIfW1YKrQdfAQB0LL+O
F16l0bTfYagacj2OTX6oXFQNBhySn22DGuYOpMHAI+2GJEs2bTPoD9Zm5dPQZGAKIM49dK4xPgAI
Ko6T1fbfJkf2r65t6NvQmvtdlyfzszWb5Q/tbq+MVN/LgvbCsa7iB8fMJSaYaTTXUZTYt+B8Gc30
XBXBmoC03oPQid+cvrbotoH/f+7DfgSzZgTL806N0VEnvvnUkRt9YphFr+vGqHuoAo+sK20dh7GJ
x68eRvQXrxnM71VVTe3KLeNxuJizIhZDpJZAoqjm+85uFnyDjUCsUZgBqCgqhVH1y+ZVd014Tgav
pxmnqk+jlamH0I3Gl1wogC/cVhSdtHOys7RLgivyO3M9LruZshtbQALCO+fL5sauZce1sexzELn6
g1p2PHlhDDsMwd0tjQasgNC8ky1GlgQnkOIMkttDdV97mkvRsEfIWPZUK2DbLJZCs4HTQpvbNwkN
mHRqZ9cnKlzL4YMynekpLD0sIGFlvPYumDWrBAK6LLEcrPRnZ1lsMcWKrVqWXeOy9po6yi5wnGen
QrK66Zb1WLI0ereNwFhmy/luSpGCazPO+XLPxqdkyKoJRS0TJ2ZFdae53m4i3O5bVg/JJ0hCDiXI
Bqv61BxdfngfpbUYJpJ9OXuazoHHRW9PWHwUyThFK3s08WoEWdmDwivS55Qa6UNVAPIL7CI+2G6i
srUveuudjtzs1DnCehQp9DBntu1LoGvnle4i6gBmP6welIX5BJv0iPVm8AzgXvWg8zMPKw4cbVwk
e9aNVEhySW7TyuuODWLkEdXZJM9KI2KwSsPZ+jKacXGYS36JoYzsQ5M5/nthBum1Ta363VTu+ERs
kBicW1G6QfRyp5vKv1+OLBT4zsNDaYXOhlsM+bg4c4cVnCG2SVj5nT2GRHVLA3p8SDsjOVb9YL3b
rhjf9FxMd3lR+TsbPRbzF2sWQv2KGCX8uGvUReJAGcR0R3hPVqtyMNUDOGzzAQaDd7Iov7hYZjk8
dZEv9mBEqk+9mqh7mNpWfPLV5J2nziB9rtIe112d+fX70FhIu4OwX2O/4ujR8UgkTkhLUjpZxUOt
Zbrj+8486Sr/zuwqc1phfC+rTTfbE+x+ExMPKkPOGjYzuel1OqjfA+h1nwrLpxUpH4byg15jisJk
3JVIzU4/nKEmyjcvjjzI/7WoxzXUiUCfwqmZ6SqL+57ZEQLUp7ScW0gbZfHmcZh0IBTmHLLNdkIE
xu1tlFDf/PzeUm3drYwGm9ve8kpYqHWQiueAFUG+muyo+6hRVEkvAnNoyE2mKy+PY4KGPp93Tp5l
wDCkCm/FxWDtq2ay76CHzzcsfQJsqvRjQwuk7xnour9kzTmTVH3pkcfPq2OfBcXh78+e/59SlrE1
/Pup8r5Pyq//+b/+xVRp8ef+mCrlb7ZPncf/q5/J33ymSQYTjJZ0Nv1kFXF+4x/bOLqlG8A/Rnb9
50xJrzBxvSW0xoQq+Fv/FmbZ/pM4jsOCkdJ1MH3zL1KAf1aOB0ptYrM25k0xKzbTFJqBZ90qUTjH
hMKVlREULMTm0iNe3j8oNnTs4JFrrOoZF1yyLhRMQTgxBM87jotlSBFdkdMCM4tu2pAafnIEKdwp
ymogEiL88FhpsoJBQOYb7CBmwENeeHyjlZKEc+hirDIP36nZrOyG/+qQqOdrWJGEHXOYYQnevpJG
bJavYOX9/CvTDe15s/N9NuRhHrvvdu3cuB2mjaQxGVtCmpCaMb6a/VIZVJhfjIBIvai1u4VcqGiK
mZ/baH7ti9zdFwG93MB48jUCzBtM4Glj1pN57Joy3g4+THvZcF+xQ7mNIqYwMOUvHduVI9ZWpm82
Xu9W5r+MXvCcS9UcNZTovQ6JnjlKnLDESb6rTbydh8BaW5I8mEBO2Rk8t7algu0WWoArfPNORCo6
zINOOUKGFt0GpJ7tuAt2VZI0K3JB90EfhShEw6WYCFRn5XKrIUKbeB7zbm+W+y6wk4M5gnfSkXrE
gDutE7mQBk24RkMtX42hKPd058bLKJWDaWfh5XFK5eCUU9BDR8FQWvUdT7y70bYzGApldfJwqd3J
HJd82o/R7RJpXocY3FbluLTpeNVFzsVNG68sP6bpCnEQsEQLldG8aKfPdmy3PoYsRiuRUpB6VBeU
qY1vgrEMoMyVpMUXUDWYP8pB89bkEivzz17fUMlSdd6mS+M7W1Xs+dP8JpudE3rHwVftGTGnpOFA
nzETnHvi8Sw1HWeXJ8AwZc8FSiPFMWeXdYASMx8g+WFatLjzppBJYt6KjW9QmKFb9R7UJNZCat4H
C7ME/USr1CkeVBBgULFyiqv1GfhmBTKvbnZ1Cxcmc24SE/Ze0nDkCiwgpSoAxJz2+EHgsmymRgLv
sO66UXswN/qPDqqzxejBESvcykFcstzcjcytADiqd5FBthzhCYIafNQRKKbIVLdW11yDxOQ4h7Ll
zUzxsYLC0dg2UQLTO4bJsJviRq4zq9677eysBjnvlUmOzSIysYrb8KZU2cM88XcEBD0Imd8aHG3R
JpEdNEisSZrMvemhbuxHuIxUAHjlZ/oDvqZan808O9tJci3ivKTjpDwX3YAHxj4lhvEpdDq1bugQ
XQWZ9QYd5FufDLQ0uZjQQlefRpNKicb4lOvuGBg62yF72atGN5fSEe95FNxgf72Ok3zClrudPes6
tOkLZ2DIoGl+63Q9I32dPeYRzZyzLucNzVxnFxB7sFwWTlwfeiiXrcfHrX3/eRxm8nbD0YwBDRiV
gzoQv1N58zxXDQM2JBHHA2Fqa743vYukWAcvOubk5fnpU0Qb5KqX3rDL6KBd60AKCH6a1lvo3QwM
uJ2a5BSNuriULdDTeQitbYvRAMwQVcJ9qfFmsz1Z98l4hd5CirSyNTNK86C15R9w7XVbzxgJrHjW
CwRJYzWbxSOTqY0Dq//mtOP/6D9QipaMs+Vhwfyrx/RDor60X/Kvv8Szfv9TPz2k2ddCQPF/aDt/
rLjc31hfIdlhCGS59CMi/7vsI3/Dg2QuqXF2vUQcbX6E32Ufh/D8EtkKHFbb2H3+Vmni8n//dcPF
89lk5Fz+HThMCn/acAU1mzQvZbcb1/JNcIi7ghEJdhzKuUlHUXMMZ+cuX27gU+DGO7wHS0IivHVa
7h+qYZGRifC9tX1jIxudUURT+Gv8zfskriiMm9JrBd+5cMDhtx5UINqMcR5z0jBIHdJdE7yFhZmu
U1/vq5LghD/LZFs2RHAFjPsXqKjF2q0wadUdvDXgId9FEnybs+JJxql5DSHXrsh1BJQC+x9qaBtC
pvKxoTl2Z+MBAFlUnBT8KxxW4uhQ7QzqB9ZbCLzJw75NOxlEHdeNTEDTYFpYB7OdyuhPC7X9Zcoj
sY7s9HvexQ9ybC4WFcyE1uJ2WZNs89IiY2ON320k7Q2Bh3bFOp72R+dmNsxhNTEardOxzNejDs9l
Nb/pYrihEP61l87CLfQ/SJkA5EowbUcXguO7yQsfyeag3SsyObhRNpMbulvtWMPnouYkHBKSWVFh
/5luGQheSXY/1PE7OHBm81AdAMLrlVTmg1LpUkgYvRp9s3ETfYGNc0QePhaw9/aD7D7LQr06TXAw
g3Gn4nq8sWwKBEIO+iDCRbkbDO97knYBDn4eVikhItk3pyqzuhWRpXfE5Ic+6aHuYzRb51J/l1JG
62GhPI3amDY0QOZboxFylVd2SDkA4hwyoqBOyeu28JOevKnCUBlabPWq9AFYEOkIFXyEs13fAE79
rsz8yVKAEV2RXTwS2FTTPcNDA+dkIJkZrnNVbgEguLkUunnzpuykGrU3/KjD0+c064mqcKfVDh4Z
PnMRXrnmCDjF0RcdM+dUFD4wa3pYmOixQt2EYo0rMD4w+AWnOaTsmQzhZUg4RBJewdsFsKWYynFL
yLva09s+rLKehziY1A+ZgWFLTAU80aheKymNU0Yl+KHIbHqjHf43v7qORXsdm/TaW369Sm062Rsq
DGC9M+vCUec8i7ISQtfF4CONi4iqXVvb98JvqMyRJ7dKHqdkvBNpumXAIcjPUXAzN9YdPZ01wTVD
7bUdz7D8mXnN1j/4ucvKjAEdwSVBtDGghhMsWHBNmgkkNOm4hoUTAxymSg9ojxXVydaqFXR/jzqP
ojmUYHBYeeo95LuvOW2FW5vuI94oLH8mTSiEfsulyYu/faCayWrUTYtBfGW6vDNwdQ81h1YuF+TM
JRrjG+11trsBlQ8chQsEB5QUT9+QRgsvg6UJGZcnt8yKuykv6Zoig3jgS/qtjhw2N/gSV50PAqet
jHfen0dVtuM+CuJv4DvvJr+6UIuBc8mg7xq+oHlAUn3pcACtWgItbGH6FZUln0luLrzL4stcjhVH
gf5brBQbqyH+FPWO3kNa5lf05peBQ9KBbfF3yoWA3BBWo/yVg0Pkmf46mZjA8O9Za6oK4U/xdUIC
m9/sLiFQKLOPtlIQBcbgyhT4OLN5ZalcnqhGey6blJ8kdy8JJjSzk7tWhXddYVFVQP2IYRtgGoQa
Ea0m1zvyRQGBRYhtb5j8vH4dd/DoBxBYsTgSd6KdYZmWpJsEcHcyLqakf0MxKkHhdfOmHq1XDzlj
h6rXnfplAx+M+stUzHT3+bl1npzxkfkv2/dTR/FGhPtuHMxhMw0V0xreqU8jnD866oLp/5B3Zkmq
a9l7n0oNwDhAdOLRu1MvehJ4IcjMgwSIRgJJwIw8Dk/MP90qR9T9Rzgq/Ow6VffUJUlpa2vt1X7r
W5uaBt0dnYwKJNu8O6xzDdS9YyBWuDjHJ24j6SZInU/t9/zxIF/PdhFdDfqLDoOxdAU3tO7nwyUZ
x0N9otEVxj+dPKrFuUda4vPqfneAxyrYC/fpoHRaVXc+BG4K99/u5/0cbvuv7DB8jcIqO0a91G6J
PhykIn1dSMq1HiW8zPZIfdq3a3hnZrtzzu+9sHXNiymNbMWWkSlVcGIu+ST/HGm2PMHRDDoCsq82
hHvPXd5asX9lfD0D2LgnNnPfPsObhBMVR7FzM8nz451fxWTI3Ha/nw4Ou4r3yPAX+u8pROjLG8l/
NXVYQM9A+PLB6tSuH0HJGEms+o3RlG0a/qppu2vTTXg8BQ9MgQ9BRQSZ4UvV1yQ3Q4sYtlX/YeIJ
s01HHdu9D/rrCkQ2vXUf/5L0lp9hf5kdQZnWJfSvr1ev1NW7ffJb1Y5I9aoZ6jOQ915/wTF/MYzi
5nX6NWxawPvKx2hAY7FdeCOLMRnt3v2oOtWAMTAd66iutwEw/bL9dX/vMtXZpdShWw9ttRhs8OxP
6Ncd05qmPkUNQXan5+1qa0gYT6tyu17soGqnY+kdoceewrZ2XnG/0N9tX7d1zsP3rx3//nqvW70k
6NU393kfvKkB58GVOWrDLqJ3Ot6i1uh4FyNqI2oEF5Rp14OTSuDHcHb2bVP1X7+oOdi7rO9T3Zm9
CiCvrIahsx/OCLHJyaPhdAqfe8e5UXVRpyz/Opdgg+9FCq3clblDLWvNsPXVvYShl0LPVXVv6ORi
ZHPG4Gal1atk3GwNVv1os98fe/5O8rjVGurdsMRTYr5JNQzg0lX2rTawHI3zNyDcsrjHzItc1Jh6
Dlh3/hlBr0rhB2ZBZb1HSM+FIa8Ni1lCDpB+Lu+MO9XvvIIRhaEjMzjvx51/G3xCyDBI0Y3CXYHr
A5eol93e+vzpeNX76NjF2Ssb1G5+w7U/wftBanvo0/hfySGxana3XVKmPo3OIeX4poWPilMTx8AX
AxaTiBeyL5REansoWoYZ2SwnbfMOmkC5tmvVIXI+X1sdRXclCrfMf3pZh7kBxNlw0LNfBN6kD/ok
UC4Radanhvnxd9RE6l2bibzHJnrvNXH8oInoH01sXzdR/v8vub+GHvv/nvv7H8VPM6P2f/3PbJ/c
/gWn+8f/uP4W0IT/t39Milt1/P1z/Tnu//H+J9LuH3L/3AOi/VsU8s8adHOnfwUidue/d8n3MVxt
CPqRIS2UeP8VjPAj4LIc3yH5xH+GKf+nBN2FeItuLJQ489rJ4wEA/Fcs0tB1kZUiSmHSmwWo5v+p
s6xJY/4b2o52Mlq9WBPnpUPuEqKKvxegrfuOLEfZTEbyEtec456mv0A9NdBvMXI6mqEWSv2q039A
nlp/R/n9675kUakbEBCzA3+/b39XUV56ct8BYzy9iz6ploTPSkxqM6vcxGubpzxN/9NtOw2i9d/b
s/563H+7bROa/Ru4sGTcDw0W3DbXUS1tZyBzabxXcJQPdZmAVZH/uQOtb/WaXfz7bS06BTuAGQnt
mMH3X25LAyhEjDdGY+f6tV5fQ7Jnc8tRlkPp8JOrNarKKVSyOnmVGoqPoS4eRw+odAuUslTDVJ16
8i9WyfCdRmklzbWSVCC3p6c3tgaiWpDsyn4VTNiW7Jhtxwz8nr9zbCeKLDnw795I0J/ij4QZiVpf
RL4a+IX39Ji2rF4UQiWNtWF0nllyy79qS95mH9Xm78oSW9vprLs/PZ9lcANQUluYuuJ00xLtlTlt
bP/o5jH9DLJvqQSwmmgDyaYP+i3eq6N7/bXkR5mOAoXnJgH0iAJPtOeTk15dFzhK3tXDnPV0uYJl
0P7Ii/Yy83B68HuLTthbDQ14oti01rcZgELaPcLzrL9m7J8lewcyfb2PvE4Gh8cec4Btgy+sa3Ky
iTSS7yOIxOiJ7+3Nc4HxbdY0fnq3mcJuJW4Rmmv4VMEa2NDaMAyta5LZNhcsN4/HH7VN3NqBZcCU
zlmXzlXRrpiKfljHQ5NKexUlATltS7E6KjSnCeTjZvRDBYdrD9cd0/NtW9aZf72w0i0coT9t2bzg
ZoPx3sZUvBPxtOTLG5lu2GFej+hpeiIfYvydTz2qkCK6Tcc02XWNYUyruZqLviriB7e5rxg/2Oqd
s23rPL7FfBjj0y6gmpKnCe01oAs+82PwEIxT9R5iaIrJYwYrmbH2THaho/vDpxhiNZAD+fFgLvWg
QQ+NeUfp+uLuVjavjwgmoQEtHgUfb5z+mNfiPkFkInBTbuL2ZEuoYkFyVxU751Q7hlld3ZAuaG57
wp3bPH+74cV9ed0w3RQL3sX4/ksfP/9lVoDiFzvqMcvFOdhaCdQxEUPeH3EjfdZq+/xt77dAF2gU
PbrGjEwdd8PB6j5hnOtvtG3Ezkama4LJzP225EhsX4puonHb7zm1vKuVFfWmFkehkfSHsHSzXaN1
Fe4chlbFrbECAuvDLoU8RgyPFENRSpLrovTbPp7BTpAJ9su9UUceSVxi89g/Q0gPuHpv2por26GL
VQz8ba1fKsomH8VfCA6L6Ul63DmUeXyatH4G/MZAp44KumI3vVc0aEkAxh+NNMZdg9zafhVah7uH
Q8pReF5wW5XpZSKfjfFa2YK+6Rhm2ktweRzNl6rURTBMUyM57s6zvJ+hpmHSJPBxRa144jiMLhdX
M5BJ0L3IxG3x3BcR/KrfJ+s2bXkPX6olxrl4KWUXAhk6C0NA4ecOHiEpADWgMXcgvhw9+brrHwIX
CRmoz0kwAAnUA/lslpP77ReKJbi4F7erhiy1Jb57shO+Fs0ryiaIqLViQJFiGeKsM3XnXfbYIWDG
+uhmBpCNeImTekjY4YzFYl/KkiqP72bxTQjIxzn7H3X4zQhonWHRdw+3Ud2khz+pzprN1GP8b0CC
Tma+H38dYvFtvg2Lcq9qwfghZ7GgkTMaHBql2kr3W2ZuETXWQ2UxGwM0Ah3BotURZSrVu+0MIN4W
yV71f3bTzGPeSsit4YUrt4bEuKgmNx/qPK+nH7NigsBvH8LDBzftPzc/n/YDD7IFBf5lzoyn+QmN
MQqaY/GQ2w+H7jm/TYeuV0d9N5/m0493cUfGPLbllAFdsnROanH0zdC15DEYQ/Hiogfuc1RExEbU
emi++6bpfDmhUNC2bdkNqfnpV5CZu2nOPMpbrVE4YTkdf9eOB/GvLMboMhbM13uSuUYilRxxl2NZ
oYP65jv3a6fZZXN2X+HQUGRhrHF83XQUvN8K6sHFE6VhmAA46a3QP7nAGNziVI7HW8h9PIgHF7zA
EaqUPUddfXitqZlRclQF+sPSI3RmKjuBd1L3+dAsmuMdmHKke8txNf4ejwtO0cfw+2bBNk8Rp7Pb
Uc3aeKj2qhuYWaMZ+cWx+UYQcvGNvG3LuHnrXJm9bQnDi6e/VGIEfMZTKcySbD7hzT34Mocd7YgZ
rMhwqb9Ubrp+LNOxmY0jtWLYmqzF1Wn+OXffwn24jPHRYAY0Z2PZkkDKEgFMwAMZZt7mrZaFWO6d
l/DS8QD3iVFb4v0990PRn0FB/+clZsdooH4mludkotBP4ZQmDCv91BAayxe+z1MI2giIX/VOfYKd
1497yik0NFQi8TtB1zW9P/fxUd+m7T+LOzuLQN3EQ68yjBdT1tXR+ZPwfNs6vqMxAIljkZKgcQTa
stRRiRdwExA1r4IAnJ1mAmxcmba/Xq/QSV3hqqF3c0tNuYdTCV22Q8OuOItfN3UsZ+DAECJKJM1l
3qhhosL45p5kX+1ktuxuetEqaDuKwQFC0USsanGSidnJUq5sPQwzqfoTpk16lCGrxbhZ25ClG67r
U7nlvbLis892hpPJeLx+otpK/ywohwrFHJqhgsdRd5HmKFr9rp5o2UYYCHyd4XjFInias3HhDzAN
f4eOCrUKdhHkfywI4n2UDaen0Vi8f2ARcnwT6zWkZD631ZyMRl00XgsnkNNFcwFqE6moo8VJQdiB
GHkf4d3kIhqKVX98iTuonJtjdl6CWkvVYuA9TBZfvOZ9fv0hvRj9iKF0nJc/8dADlEBt+MWcSoYT
3pLX0kcpf6DyELmqQQljNEk23RWw+3w6DI4osZNpRHYcqN/plApy40y1o2RrbVpytkADinHfTdUf
0ZIkn+VIzyZ/WnoGYZg3chIp/Q1IEC8PB+Ovp3ZssRN+HHelfO4h254grm/PLwS0C3tI/kXonR0B
tZJOnNlkNmPFn+bCR8EaKI3pjuKMmWyBx+J2xOKxfLlDyZMy40YMNexxrjg7M9o9CaH1HzwXch4r
a5X7wy8mgCLZ+gd2dEj/xWKxIAUpq0nHvTh9ffF06CD6iH9LDlR3OhCzHyFm3nj8jXqjYM3b54Xl
4o0fjNrabvl4a3BrL3o8rhpHxJJPD33m4wUOBKciRbdt0UbRTeAaPTtii4CrgztS12V/ocqvgx9v
SsUgVnFUD/caroIBHSHf+fcp+u0hmO5q1UWAy6GYHpp4YKimNZ+6alr6U7qnpaseX+0ZovXVV9KW
6nCYL/3K0W/FUX6rvrz6/j6cODOqhNIOAR2u7iKcmXM0YtdiqgniyNPC127kJvR23l3ryWKcIU/Y
QYPGVJX4Ym/PMjVPMfnpz566I2Wo+blrq9Ls5i0HBGLwDlqLaqNcUmCrX2XN4AJm/KmnmHsiEnWV
h52E72mozt/T1VS1tyqTWZSoozordTbNiU/itVqN1KF0b9/T2k3UIVsmqsUlSv6l/GotSsFZvsr5
3TnpM7/VFu47mE6nB9TBSSoreuAncsRwsFA0wAnvYanXqtGYRqnmsL6KDQq91MlqtxxMGzer1tDz
eLDQ5t7AsfQZpWeEWQyD4r4emk7AHmRKdL7u85bGPVg0ar7zl71j6uS5PaXnnmvcYpT3+OiOAkxE
2DW1pnVLbukSUobkOvcZjXvosUYNBKUuwmT2MZ31RUTrxn9qHL8m3MIdsvwLD+M9Q0u25VuuOt5l
1Wi8oQiidWNd33I9YAaeeap1cpQRZL7VGjPcLkBEywhvgIuM3iZ6ho0fSVZMrBjSgovfWLtG3QV9
8QzRQ5jPxvyW+hq+/X8GfoX5nZZuZcpV7Xx/Y9ebG+KR8Xejg59q5A2wWG9iEGPSxboJmIZiqyw/
KjVlQrrELnxzxbBlvSrFlDcerAaEec2f1aovCqbGid++Wk1/Uwe91xcret8lypoO2tCUh4HDZvSm
xt5C22r4ugjWSrHk1njd7NBq3Shj1/3lVOhIEcJGUXAR7KKies5dSjktxWHuz1POVMsEmQOZHCEu
F+L24TYKXIg9BHoc/1fuCLNHKDZ3qtxacLjmIwzEXWFCLoezmM5r9/gV/E4PV/kWB/hM5pmcM5Qa
bAQwyi7nO2qcmMLbEiGbN09/ksHbOe5ZUhBgMwB8cqueU3ils/geE9PhoUd4vyUrfRnbucWNU/n9
TbS4Dmw5dZt127oy64DB6aunVzsLfIiW2I6EuhIpg+02jTEwR/8RLUAsnOUkdCZUk1IXZ+T7rDtf
2Amfdj+xAKsfGTNjoFElbaHDiT1B7TkJ3qqXOyBI5FneJF6a6SoSkfol0REdZ6D+/HkG9oLRw0vs
QdVM8xFQfhz/tGb25rIUOw+qlwyv7+63ZhcKNXOCOLwxCTFlODnS7HYRM/53/WJ5YJ1b8iKZjybx
Iobyxeffj5awF3ktz4mbWcsZDHUAhfFlBhvwy+cliI/qaESyTUfmMWB0jmFQqtcMZoxg2PQXp586
7q0oY2g6HP11hVvWeO/Mbp59vk74V99jEI1kW4vjhgtZPZUIOiALGH7ETnnkljz9J/0oWwG5dV5u
ss2ZleTC+qfSxl1jAqWPLpgk/nl6UhCo85JMpuyNoEvgG2SMg4tDl70m54HP9GN5Zx4Qi+gd5VOz
1ZtNHg4dRmaBEvYSD6bT+2qz6c2Zdyu9CjDQzyVVGwD+HomGG6HNSP/UKnXbBkouew6RpfSsTT0p
zZF0gN/x4eUbqrht8hD4LxeDjVtjWNsm3nzkXei7iDty6NNUNzqL8HiRcF7KLA41dMMiZuNvnu46
GwwtWj/Ow+Nic/Hi50pv5MuWGyBCulYYjkIkcl+rSn9kjUfZ8aujPHHpSoe1OrnSHxj93OvuobmQ
ZbhqscriUsGPosOXfix0W+1+bJJ2DAOVgIspP8dY/ZfeOLtxR+4EK9V7XfBZreCwILQDzZO13Q8X
DE+xDkUIUk5M+tNsL19vwfrZyk2lNfAtwRIhHTGbfiE2NTtBf6CUXZ87hwIr/pExlUn2hoA1k3+F
jWcoMUr5CN+KwXzT5qUMfnrrJ4N28FBq9fAsY4t09vCAyoYMt2PhfX9ThrpZYPOU7O1dPLzBugy7
/m7MOHJxigeM1brQ7Sl0jeP1EDp1S24hX9oyI4eJrKxNY1bxeMb3OJGopLaI9/tEEuKpkfORbQOk
iffBy+utu5m/43Wmrm2aL16UP7fcuwRsIP0dxHOiLXJTCF9eVFtUjiUktv1iukvVXsB/2eOXJ4Dp
WGqz7W9DDVJ0cP4lfzp+7cF5K3zthAXmm0q9U5Bi5KOz8s8qMbgOU9f1Ldc9qxPi0dUZRlqcfGYj
F04qQIRztSzWD+8pj0ahXbmcv+Ft5uY2sUTqT+cH2VLEKIAFZerP51Jq4dA46nTwb6Qv4g1ChkM4
n/tLGvtYp7TMIJBLfso3U8UUdHaLOpBwlxIPsRGvE/dxfenv4ziWbCgOmgfDOC/6ptrBfKnlcl+I
PaRdMgZvp2Uq5Em7uJ26ND2zZPv2A/c4x76jV5lnLWIJnZjghcqQ/bbNKxdzHNAivqjj+ICO59nm
+1iP/EJyGZ+PDaYMU8A/zuLgLpd4rsu9tNT+zibHV8F1Nk+9CQV+tpOElzBs8hV/Jt6QE/da9aVk
ZjgjEu6C30BG7ki0Pi/eIX4wj0V2UX7FnArWxLGQ+MebHfvABkoc5jvv7ZUJzcGQG53OwkbmByLE
DWtk/0t+6Xjzz0OOYHJM7ysmfWd7W+Scpo8MKUgCqNdtcgC6yqWujzNW/CQCAlRmu939KaC4yW3l
nvVtWk7PNMf0Krgqqm3C6FknhNTiqa2biJsj89JASs1LNgEjkeNL40mOnE0PcD9Sz0G1hWg5Vczk
Rpm6zTGyBWFA+JGb5mA02uVt4p3o+5Wu9NCRx0nXB3IorrOutlRXd/R7Ifuy5Tf6yPefsqvf4Ykf
vlbN9nHdA0fqs+r7+aTb2KaXyuinv64tN0O3f6gQTwbflmt/I012cBKZ68fLpd9zb+qqQd/jG6hr
9BgjL5XDRwPT0bK/P/5cTOEkanUi4CMcUkpyYE86I182d9XBlnLlNr4Ajg7u5/y0nc6RdDhG24mY
ypF3V27L/B6IO7vi9/eA0BxcTDpS6VscXn8pl/qyifsy9rvL2vP3+xNKAWFDK+zE19cDhbORG/5T
EK3wqkVrG+sNAiPF5i8RaUSd98ir5oeh6FH+p0/L+H3ZPKPfCxBO6bs8FmfAb14oRj0TTn/6zzea
xSyELjnF9yirIF6swM9Ns8hClpPT9ADeC9Vz4z3sAeAs04DDyPXfHlig/FfcJj3DUtqYmIGIYVWR
r1UXUTLxbVJ7ZU/ueR11GuyC00VIuza9kIFDsFKiuy/NQWXwFgZFb+oQ1YddQDMUYhmHe855sxip
98zDEjf10T6o7X/9gZxa+HD2qjnkR/zQCndiL2jdCK2wkdlk0g7lyW1lQLbFuZJQECFXCAuBUMt5
eP2D7g+DlgP25VbJnHGTGyZz0e7r5BNd7RE2hushTyNfU5B9Los/B3RDpm/zIzfFKePAVUxVNfAt
sEmJYSXZctqExbzls7G+3uJsiqiNUn0tn9OUilXq4Lfi7pX4miPvqHpfQ+UGyFbLxfl/ywgvPpg2
YRDupYtkuXVQyqu3XkXBevq7CtA4Ozk9NHosGR93UgUBEfW+kKne6YevCCdWwW8wnNhkmfuCi+Lv
/06D398pXu1vYmD3Qaf7g6+dnl7ENFj/BkRQjVK9XMVheiAZoNxMtiZyF6dhl0ijKwg6387IhU3M
3D6RgtI2DPisWTDO+ArW6G8VTHeyP8bJdeXcUi7WSsxZZKaXCfude42Ahl1nIBxngqZZxZaBG0vV
E1RKJR1mdx8FOr0OxdCWf+lvbEvNYMP4JWez+9dQTioxu5DwIJKXXacOM78tskhOG/XcGIZn1Nia
5X4Dztu7KAZSq8w5oK3nEgV9d0bhKmJLVLD65fm8X9AGfP+NhWID5nfs3454TDWm4qOXrBxN0/dr
tWG0qzwqNXfn8oRWEv7c3/uxpYYHHccPL0ZPo+6il34NEMNUqDnxhuv7GAzfxwT5Wu+xGqqRi7ts
45VgWbiOfDpD73cqXSx+rJkNHIfxzWurO77BJtSY7QFROFKGzv65s39djP080+xsFaUJ0f3c9TFL
6JFl46W1XVaIHHJqyH/IM/5ZjB/DYIwJJ2O/ZEV1yBUu6inZuyUaoY0dv01QnQTlkv5wsfQlp5OO
Nb5giVe05IwtG+XEo3AjrNGSf/dRXnL5YSXL/VXjUOjdl4w/ehD4sR7iRvCNs0IRPrkDm4u9m/Bb
zBZVXImLdPa7x+KGudQnHJyTm7ld3Sh12+hXjHtg8ZMuO5ePufzF3AwguNnNVE7TasHrAH+3lTcz
XM3PCg1ni/Ku7suTXCHwq+CAhl3G0GQ4g4fEyKOYG0t/UXGtmPyF+bhuSZY0x7MdND7VE8MbQgp+
3Pj+MmZB04sp5421IhejfNstvYdXreTQoS4i3UYHFY2GhjCF/1M5EK1xkyWeAL5nFtuBRG8lUpw+
gu1IftOZ3r8VDgnTcng7hdBoFvlG3TH8gGv0cAvPIapQ3hbPGeeFy6KdG7MubiFUCKGPiFhoWegg
Gzf3smjcxI/cb9JZo9Fx4nDWh4xJg0d/89kCqyPawc5WK0zkzXu3IlI61Yrl72m2pde1Egw9EW8S
QK1CHCveiLSemnG79w825lBgIa0QY8qeVFPKn9jDDs5k6uIudeUyRgJQFGy033gkGLDB1/xiZG5g
juksC95l5rcU+4IEfaKlbd4hBjwNihkLbzlLRClOA+SujXLo6EZT/LWJJzEfuLIcP9l4pplgjG7m
LZ7Oy8H9FEvNsvAGM/3BTQMrJpkA1PiiUX4V53l/ovobEkuNdsQofg7X2TO++2337sMNsQeQdFap
Lpw5Bu0ytriUfEWF7z6jFPIT1xLnjf11VPU35m7gXh0U8B0xeQsu6C+beVZNukaCuCe5RsLtLl2E
/aIkSiTVqSY9wGcXs1weSEo1J2h0uE9bXsDPbyb1m99oC/+qrxFZfJ53jjt5ldO5muMcuDLuNxoE
b/TEn6Nx0Rz0Z6ti66LPEAv4KyVvxexyruA+UPPq9owhCWkhGSSv8Wt6wr3tWOguTnLN6HT2Iro7
lzk2JmuyZU4tRv9hvBjQj78jxxvUxN9wBPZ/IewqujvGgA0hAXjoSn0UpRMKt8o6KPpxoN6Tv1Sy
fKABuSgmFDw/1KieC8qPI/F+64xslO3AdH1mx05f9Vu3OodOru4/q85dXMgJPclyPgXgM/Ec6svF
KagX+A//rtZ21MKI7PT6bPlqbfVFdLKgsdHq/cZsvvr6GA+m0SksgGpTcun6lJnV7Uhy8PCxgFgc
Z1Vo+1Qb6F68KUhe4p3z3dRq3voSR3lcdESPasZltS75wPK7pGneFN2eIQDdie1UJtnfvU+Y+xRB
YSwnWXc+JKCeNwGMPCABuJY46j55QOZIrK+2C/rWfExl0fEuOgvziAvvuihXyYyCXzNQwb+Hnx9g
0LuTa56GikiltlG2+MAR+xanY9h+6TN8rgO3P666kt64goQfxCnHt6ggHEUWggoswk/6NjYPTvPw
2aXsYMvzt5tSmIgHmrxUG0DHjhp0k5nrwHSOaxtcKbuSAL8KuAsKEZXxxzP0+VpyuK516+cJEIfS
L8gBc3yp90tt6z2UCaZHsE792Jx6oQIZt7s6nVSfZ88w6q87lohseuzaX90kzjZwqFD8B7Q6pB+K
qvV1QlXeu3ZpIAdEyzzu8NX3blOIVaN736NBVJiXJb0e/QbyzQDqF3zqpijpNQislzKDHGxBSjEP
mD7p9Yd8uXdSPU01gtwOOZku2awowz0zKWDoLeOMfhGdJ6nfy4fcJ61dj4+Mtl2TTdQ9JfFpX4Cm
tMFZQnKsar/0LyfJQCvb6a7VeQ93l/MiT00askMhiKEg6VFceMOT/mQU9ud1IT7rLHHSvgZJAViS
QnIlK7AkDWkQ2na07q2aNrqhARzdKxlQPunfiHMhTB5TjyUDdmzisM8hWViZhLm1+ng2nWoX9TaX
sLXfhembUM1a48XyvGYkLw6jjSmPM7VZRL0+qWcQBCdh6HbYrQTwJQMBJNVxwfhQktWycncL/HSX
4nj8cJgocPb7LtiNUvfhjZHF96yhl0Jiv0s4GdyX+3Rfs880fMnSUD266Gry3f8GSeMPwC7kPtUp
mR/O+3Rz0Yk/5G0yYvZJcVHwbb6Xc3xKJ099qkYdN0MS1IChVG11c2hOwJ/7iIc01K67pN3eKL0n
pRayMzr8s2Dmjtl+iC9ld/HQFJquff0KH8umvgZtVwx6ZbAqow/8reDGZ9ZvN8p7ujcOWcW3qfcJ
jBgq2h3OLvXX78S1SbTYFIorUvTQAhQhIHzglp/RktHANkhKwd/9Ae0SP5fqG5DPO6ILIVPoAyJm
WtnJGZ6XYGlTs8gTL5k+v2h5OFLnWVzvX7uFRxtBioKetJa8LjJPuWo62d22l/T05IZyFolnjR8b
p6aQwjDqLq8+B+3TdyBn4iVSUqJZxmM4grlQACANm2Zy+NU/y+981t5Dur2l8vwXHIcOMlKCtWZ4
WPUUXv8CpxE8LAKYQYV7TKJ2CBqjGhfjEiYAgg15dFrLZBchVPm6C4JqXprcY9iKars9F/+xi78L
kfuAfzR+WuMSNj7Mbl3M6jEj9gqnDAh+1I78VTzgCJMkxJEXf7JvKyHoh6k1DzVpUDZJjqLnRWXi
zzkq3DvhDlnKDs7gc2YpnT888VX5X/DakbJ6ByedjzXiXOOWZoit7HojhckaH3/6+FgaGmNoTN4P
SIRxGt4LCEsndx8WFFoexp0/JK9u+kSWTdAtgKWmz4Eco7dso7cnr5UYdhf6/fAY+vDSF9tN3gFZ
pvZEWK/gnZkOnmS1TKxV/zRnV57uM6i+ZvSu6zqU5A1/3t3YAVBtTRDXe298pCzcjmCXezvMjtdd
auDk+V9i+JWavhZ9Wp0YSCtefmkeFMja40qOlgkNQZMWAMZkepof/ZaGOSA+ei/9jPFSOgxWkKi8
IKG92XaozIl+VGgxGJMH1vlawNoQF/qySBKnhaCC3sdD83uks2COazz5gdv83+Pkc9UMI9SjlGZA
csSpTfKgdyQ44UGapCRJonOqNUsMKzEhe9/23qa0cD9HPSHfc9vsk3xc0GrrPoiX8wWLo09m3ceF
rcP2xZA5SnAVST49V9nAfPZvIu3sKKvVBtA2troJorOO+w7pR7mCUA9rc13pMuM4ZPFj0vQEOXZb
ZQk+Y/+AZC6feKou8P3TbMOECRgPLcTurOwZq8ALr5zMPY9cIvgOozpw3qaNuHZ1z4DQ12K4rUgv
Z/pJWdct3czBrzNH/Ma+luXvh1ioEzV+6HCop0QK7p3o6e4OznKQhrvACl8wDV99yV8A9O83h1Fh
+cgb+Zn7GD/u6vxTd/EWVIuMuq1wzmtL2FSItscQmsOMHHhfWu51IGVBTwmv5Oa9yGS8JOHaZdFN
TEkQs4elz+aExdl+QH6zii4cMKI8ogfSfZ/VNZZ5SAwpTrPG3SN0032HfPBK4JmnQU2IA18yj55O
SVtKN9UQlHxO+nMMEDX/VYv86p0A9m2uy6YG+r6rwV1JiGguHUHXXbT7oslX0LOqO1SFq49fXqPr
9HYyQwo1sHyo85qeuOFLvJ7wZzBDiLQ3iX4HjXWEziLOK9IoyU/q03BEpqNwei49NzTgyb2EnG3f
Cy1Veyy2ifNp7DXkH3UWbwaELy8C6P9N3nktSW5dafdd/nsw4HEwEf9NJpA+y2e5G0R1GXh34PH0
s9CkKHZLIoOXM6MLhUR2V2VlIY/Z+9trLSbYYbX7mi+ZX/hvXIsVpnRAPrERbFs6Ba/rnAuaDLll
KzcUZqMDbBdOzBSgzuU1x2ntshxjufYBzr/BusXrWIYLjhdjqaOzKly4PK65Ki5LGOuM2LB6cQlh
kV/z2PjHWzrGLmUNVVuDMvzoOAtn2+y8c/hQ02AsTo1vfOj5KrhaR68ZpYL5g7A+Q0xe+UQhxAC5
sbIv843lffwhyn3za9T2Byvwz9ZcSxgqHgiC1tYydrkEtP8Y/J0ZlpuTdI7IoOhsM81WIzzByBon
ferEFN2qbXn88+9p6f+aNrZVRBrAuRa8l6ouIej3t99VvRjqqqocGCDn/OKpVwmfgxWHG3YMjlFk
XogzHYpTxrvyPB28idbquAmvmi/tnTjwZtpqL9G5BfdXrft37T2mE15RGg3fwrf53fZ5R/fNk9f2
5+bIm4gZ3HieOKFzv94ZJ4euJHmvvbE5y/1mcz7TTK5OZ/tgeM2FPh0zhtSVltZp/ZjcuLSpl4a5
PMk90xCHxLsjlXB3d01mtl6dPYoqDsoODrPb6iMm8nK3ud64q3MTkxTmi5ar444DLwmhL21zHj13
9cxpfvXcrY71jqmdDS1KTiDLNzH42RNPf1H7W2VNKI/4D6Mlm/w8ErvcUJh+46J6GDZEJNcJITDD
665IPa2LXbcxvqaNe3mCQkCWpj2Gh/g29ZetmjYkidfXQOBDIIDnG5tXlwQyG+eHeKtfw9fwM7oe
l80cJh9JryvPrtfEd+dTuJv8DXeDl80S5oXIubIoguyL5TgycuMgs3pVPKhfHJsfip4T34HbiGdv
w6szSQf1a4lSDvqtLdbjiUXs7F7ZnvSlDyFmPPTsT9JvNrYXXYfjeh+Mh6n39ZeAY2bxRpVd2a7f
xjftkToBy718jB+Ce/fVvA9O0Dou6TlC7L4KcEnfgNv3rdviy89P708m9f15Fd/Ix+553gYcUMvL
zPHb8edD/XAFjn9H0OTa2TmcyQiDOj7gTG8pju0oHcy0Ryrf3H+G54amwPwYUkawHou770giLy2v
VyXXBn3lTOvsLb7pKCCy+ez6Iw1tuhkEm3pf3uGLHQT1ovzFPQTPb5RdiMtCpV2tKYqwus01p5op
WK1V9CPGwXnTwIyRdNstCyXgM+r+LNnGV74fNuJeXwL/IAueuB/W35SX6QmWpLv3zKv8qWbvTdaS
mHK8cV+aY7Z2q9VH3K480l7DkzfI7Vd4zaKTMxO1wRVGdkVQG/bW1UGSxCm95l4waUha5c8/4kB9
+Qj/mOx3mcUAl4ZzfAFq/+SzAY7iOCljPJt+o7ybZAnL9efnfk/06DHbTz4BRH/1cE0eYCs4qG1v
PkcCsBzYvz/2ZDOXBrfGOfQw3sf+5x2nGgJpEmzQgdCYZ+yie5IwBYnK5+RhSeYt+Zaz6r+6JMWJ
o6Fv4UtrBIFpE03s0PeSsp7Kb6IhGpYTNlrCVdZdxQMw0m1hnTsH62hPlYI9nCmuc7rJKfSBS1r7
4rncVNvhaN4pR++LHvkGvdY68L/WFVVPjyoQG8uZdN0HfRnqutFtdlV6dO7YOpv/M4Qh40+5lf+W
0f3r0NDyFz/fmvb//z/FYciHkRzErSbDMZat/3NoyDF/sZYdxQFSYLr6QqD8B7hS/AJ5yNQxfrqm
riFVZwzlt6kh6xcH5IDqCmaQIFg6mva3IN36z2ZZVFSLSodH3rVgLCyv7487W5coBmr0HGu2cLJ9
qBYRDfDUDrGbZt257BUYz5XKpUxLe3E7MMR9nBWmhVdq3eUPwoyoRDBfS+kUo6if9fZAbsCo4BBF
TmQMm0x3oNlI3T5FCUg0tcr5BtiUmZfrHUoxQ8zQ1Howa421vhbZWSv6zNy2jIYeJqaA127X5oTZ
RJG9wWxLGEOprPSiTzkpjSiOw0cL59x7gmznw7AmcZ5KJYT6ZUHJjWRP5dliCJhbZZkSHEhF/ph3
PbXySGt3RQTld5UBx8Ql6/aRQ9OsE9wGzU6cSzWy70TXZ4yLTsUXk9m2zcyyMN4iJ2kOmF2EN0YU
0+a+bDltg/pEupdP17Vdz/eyHqydytt1ipBbbJntjA2ErXbNCxKO/WkErf2ZCaMm2BbUCHSwbXAw
xerestsNOheVYTBfHWiEXpf03c2sKIx/2oHzmZsa3pVgLmAtigqUjcWMJxd8s6491Zj72zBsYUJN
tcZG5ARt8pLqScqy4qTqdRmJ/t5JunYzNrb2MciufW87qzwXg5XvsSG1Gzexa2aJrZbbbq+WF8jO
0muHvjxPHXREz9ITuFOWM0bX0JDbDfBP9a2GHsF0jhk3iMrHMvSrLBe3bTGKS6GF7fOYKpCALa1+
1UxkOYJfJaTvQLEkpVhn/Ia/OD1kSaQi/I6U/MrNo+INhZrpgF3sx1e7UOxb2yosz+oc91tTx/o3
pVSqfboAfOMF5YvTm4MWJu5rV9QmMAqVAP4C/9XiKDy7CxB4xlpCqlgrnI8y6wF1L+hggx91z+Dc
uoBwQaUu63aDkcXHsNTmXSkb8RnCxj5GZs/VrY+rhcQ3U0QJrWd7zJJd2slui8cYlHEyMpQK9uFL
XUjHRlIpt2YKs7AO8MmGqoKjc2EjW98xyU6Z9qYHM87dTVPFGDZ4jHZnSoPGeiOY/M1zBtnXDSIy
FnmjYlj1O5a5/o5oLqOk4gBolzo0+aQzV8pgDx/weaLXMJbtIcnn9JvyHf6sm0110Ga91FbVaOCQ
hxmin4c4q9+H2SXcI7/jpPW0ow7ZMSpOqBMcTrSqbYeyYObM2cR0hc57BSwdSjXIfuVZRJZ5Ur9T
rIsFaF2zYoFV6sop2Tdl4t4YZV29auDXz0EbB7f6VPbPHRhGqhu5muprGEZQhhxnokhf8xkHTok0
pk4786lXU0qyGEJReBklJbwQpRdpBldPZ6CAQX2sUxvtsK7NwoRWAcl0he14vhoz0F/wepTopirz
8CEGlwWjUSaZ8Jw8Ub9iGOQ1aFxl/jSwCJ9qVE7aCqOGxIPcZA+g143HyoFF5lt54VybqpFcZrsL
LqUlcXNKO7LWlVrhdHeisebelfVPjWxr2ulhYb0VfVs8JXafv8yt5RR+3BucXVU7Gm+aUMkH38g1
Q4F1NZjyYPUW48BR5VjTFfDRuPdgqCV4Yd1iIpwBW4IPtxoPT60761wKxaDfiy5oBuQzDqUBp5sJ
F1qZK8myoUk7aqnbbgXAik2iRpOArYUvbZ2WSvyVJxbdgE5JxJPNOkkRWtbUl9CjWiu9kIgQClE0
xP06lf8NoZEp7IbnnsJbFykPUN2VS4wNTlkhpDCORll0F75m8FQnZc8pyIw6uU4m0X4Li3m+saGV
bax5iN2NzCLVXoHN7qgVRKq+q7Pcddg0ChYTOymL23hIpe2hKuVkP2bxVzyUX0DfuUtDAut2iTFG
hK/7UfkWKQOlwAG82Q47Xvysd3yl7yfBv2Ug+Z9GRMRMv7CJ/vNI9AMiqvyH8ebf/so/jikmxxQg
S5hxljMFp5XfZ5sd+xdg3Kahqr/+m8Wo+TtoCf0j08t4PhDCINThX/12TNFxiTAi63Ks+P5n/hZd
29B/HLtdUIgWcG3+GzDIMmn8U7ssm7oIAq9OOCpwl8W2VY4G3uRtz7rL5Be6hX3UJMr1hEux8Zsp
MJ7dSW38oRHaWUjp4mEfoV9bTrSRQTfNa9TF3IZkZJ+dqJA7LXMVTsVChjdD3zXn2IhRRPcF/3Dq
RfrY9tpoHca6NnEf1NGxz0eiUEoj1jLLVEba1KI5ILhi6q/Pw83MZ27fV7W4Bg4CPcEoYuXGdBJl
F0xKezNHzioR4sqpx/GlqfTuxQ7dFPhHBzhaumlEvLUuKvxoUX525gmLXdfazL+qya6uO5PaKsR+
vbXMbaMFgddo+OhwAifp3ulFeyPCArpJErpe1/YExkdWdbLibWP76pQGBC5TQVc2zeVhOYA+F7XL
2K1ZhQabUBkuoJWA67dIJXVxpVCJmQYliQndFO2mQtTs24VGswmXlH3fVar9UIRjdQptbSmn9ybX
HiiRDOEpJaXQKXZB/avx3aDInoJYXpLpNVwnDL2iGgka1UZODDtPU3GJRZ1fIFM7N0GF93GTjw4T
UYMy3MfhqNxBJTmokS6u66BpdmgnbTNOdO6Iqv7JWtafbdxpEZUoTjiLIQUps9W5N32oOJsxAN67
Rlwx3OEzY4Clb2V0thqjOolich5dfYTUXlqbsdX7b3FXuXvEZwSstYjZ7iRzoWMVVbdVh7Y4Ok3d
HQE7xhtQ8eTMkRwcujYLHp2KbpdUu+Fdm5TeRUY3lI9RnsTPMS7krdEE9rwy6zDCp62Ia33WlYNu
2hQDdczOj2CwIF51mSg2YC3rGsCHpTwHraufY3tQD0bhNH7mIBxJ2BMLTzGG6a3RTfUDvHWGQ8eg
7Spl9lrOxXzuXFE8JL1dfNNVSQdOydoHeKfmFutZuGdbLz65msTHIFbGczylyWGIDJi2VjnKuyxL
YFKrqXi18J9vOXsz69QGMyNnvdtutKAJjF2jWPXTlKrj9ZwkNseEtLfOTov6cHRmB7zgONQK/nB7
frTNVAUrb1aXTNEG5IKa8gBIJ39rwgWSotpjEnmhI2khdfi8d3aLultTFP22TIelXmDb8TcZGplv
FnN9Muwq/9TwXW+NOLOe0LFkXwCQUywhkRqugXuk5t6p0vaaP2Qxt9EFwJa7unuSHPSuEzXsENXb
YbCznTy6zuCJnuZYA4EcBgk8zrwoGWFXZgXhm7CUfZFKrHSj1Gm/dEp9b4P4uQmgD+6NQXMf7ApW
+R6xKPxFc4iLeVOBOoSXJfmP7xpV8qSqOMZjYUKC7NTyUWhy4gijqMFTMXcFjgq7HNZyiE1Kp6Yh
j13uhrvYjEe/BB2+dkPALzZy76swt8KXOhgNfQ35W26sUs5bG/gok8Y052K0Lo9a6EwftQFENRcs
lHqTCyavxmnc2ChCtpgBoWBlbn7Baqg+NJKrGm51O8F7oSnHIanUq7bio5ELO+L1hKb2FbkChh23
i31WIE/h05QcVa3rfaVI+m2nOvXOKipjG7Lr0w0bairkfHGEioXecmaxRjLUWay9K0M27QIQ616v
lyF9EmV4yxWdutYY2Xt37MN9VRv2OdelfFCbzgUtN8GJJR4Uxvs6sZhnGFRxDW+VDiWwm60xV8FJ
TJ1y5jRl+lmaVrcqdM9tqPGrg1KqnpASEc6zC/siimR+Eewhu67K0hcnbbUbpXHjl0Ede2ftBrb6
ZRkZcG89a8InMLrc2oY8CG9qKLn0VUHcAA0mDhdHNFGaojkOYWrtNL3XHxLRWpe/fyL53+lEw9S9
qOr+87nl8S3LFiNaBqKle//xAPPr3/3HAWapiwioHBbMR+2HOgtwFlujcA9J2RGGjiLkDwcYla/i
QGzWHccwYfz8foAxfoH04ixKcFQULqSPvwVz1n6ksywHmKWKQ4Fl8YvbqNl+LLPYoQwnpBR0mBm1
iXfzTlnALG9k+8j8/1Uxk4PZD8XM5duZKrubxflrObmJn/oVpj00sT6Ms9diquVknQXknsxsq5YG
A82WCT+hgQ82qaPqYzpjHI6L8VvMdftG0Sg0sCDVPoh06Vdm+1VMGdmGmSkKpa+bdTqNF4C79INU
yCWdmJgQ1tKB24brnOspG9nyR8IAAtbgnClsCn2DsVSWuh+FefZSC2Jh/fTlpK5C/zJvDZ8yC/xa
2HG0SGZ2MGBfXqfNkk1bhauGUWxTVrDxYLJQizA7g4I1DOt5VsxjXrnqSSiqukVCHJ2sJOluJBL2
bRNO/bnK6kT6mURpsK7wYxzCDswXUoGmfHALk/jfMBrWBxdHm3ChMEZWqwjmmK13UA2tQFjLaYhC
Vdl3zlIwoMmmfV+SutSUD/WyTgXLihW4lb0vllVMmO345sRTeMrxd3iBgXSNZ1Z+drWdHIRTxeug
brSvog9YIcvKYrW0l4UT/JbcTWzrW7Bpuq+5qJzyZamFgt/uNZxLmzoo9K/i+5oMMLI+meOsXqGL
VY56rk7MsJlwo40ABVojquKipANQk6httjbLL7P5JrtA7lrZNnZU+NptPX9MSFoeEXMXcIKRaiVy
oIeMV1vxUzcOnuQs9XPNleygz1o2rp0gEod2ZBebNaO7ZOqkDevAnLQDuOTFv9Bl3V1UF0TdQ3R0
z9CY8/Mgxuq1cGLtlI5qQDdW1uabLjt5T5mtv3Fm7s9TnTV7KNjysxa9slOm2rjt3Az4dtZ2Vy0H
t23kptldonaMLiuxPfoKP4Tw5BTxQERlwTnZ1KsBK+zIg6VmkkBzlbi7ZlbrA3Js8R5n2WLjhtYR
GQl9qTRO79JsLjj4OcOR28D4kSYaFUCtUDdUSSpP2tUANyUnz5PacMFNDkWIg7Hy6SoHuR4imhln
7qYrOsqYFSoA2uAc0YHiVLW8sxqHemcX5cGrnsJ2jozcfNU1rh1d3thfToQafO2wXTH3Z5YBELFq
FDdRHkVPUIetdq3JMXwf+WQ+z6XMvimTDCCBqnWor+y8QigERBuQ5ly396LKtQ8U61RVZlkM9drW
lfCcxwnX+qnIhtxvZst8qku737b8KZLhENs8Ucn0obJq+zOgnMl4u5rKI8+wu+o6JbuSXHLe6siB
Z1GkGKeFEc4mAnDLWEEG5PLFwfzdCEL7TplSxS/LLHx2u7Q8Y0kun6JyxvuepZP9rdQHwaCHERzd
WLR8QPJS8rxaACBhsuEGLGTAJ65Km3u0yfpdb7F+5G1BLMwqi3mldiA5jEAd9kLNO2zoo0WvVLYY
7BobpHxql9ZjaKT09rJ0djxXq4ddNqcKqcahB1ntRGeMGyqzZ2MTfwjFae4Lu0wvYcX/ggIIwMpV
TJPhyliaN1OgQfsQxoTJD1v2TRRMy4mD6vJKnfXhItvCNHFPasQ5UtbbW35Gl8htB0OPRpN15Mao
rPs0jbamYut3mIKxu4DdPRhWqTymPW5Obj5T+jkqM/MvyhyqHmtsQ8gbzKzfhZPiBS3VVgphsrrF
R9m8Y1W3tioMyiOs6u6ltkVBfHaKEy9pQu4NYpRk0+ICg3yu2tus2xudW38NCsBO1kHnmkpxhlfJ
dMeXQDEVn9M+tRmaX9tEnYk+YvgD+J4B7cZ9CYBQr49aPJOeHfro0Kkps2+jVmKOdsrbQAZEkqhk
rwNhN77Z1OW6hh+70yy32Ol915+oCuMWqFPh60FUrOuUz6/ZaeXaTZrsYImE7OY8fZN90KwrW3Be
7B0MTKgK11GkAAWtM3cFg5vhjCDR9hCA002RknA17ZapsnKOPLx6SwzIdrymr5l8zXSu6GoynzUo
Xn6RzsSbDSeGu6ymHuaD9pUlFclS0bOCDaV1dEwa763T8/HtVdhYiJZ8YwysA9L3+K4yOoBK7qTt
k4ROp4vnzpfUbNkmJrGIXpIIwn9SkMHiPu3VonO3dUI1c5q69NZSnHBr1p26jkZdJ0MI6/nYVXr+
aPOp22QD7eKsN4iDaTbJvzAaSMBwh06dadiENnzDtG4BRraasatSNTjVihrvtc52bgeniVatqRJp
LIXlz6rbH42sV+6MNIruCmkOh7lxAI3ivtujp3FO2LeqbZNm8ZVia806mKLsIJVIeW1bneYLJHh/
GGpe39gCB8qIW1ZTeWuMzC3PXUqiLyrKC2zP6VFWQUtqypgp5bYGWI3IjW8zzaRK14TsME42waFR
HO0ujlMuH0UwvsdupK4Vg0+7hlWID0a3K5SeBnMbFtUu1yH4a9wTqD1qGjuCM5ndjjZSdevMnXLX
6Hp9nsLJrtZamJf5Kp7TiZFpC/x1WOY05x0M2nM1V/eJ2as7Vm2WtxCOVRkIcmKKW8Qvau1Qw2nn
YJ8aFLm7OsoyeirDF5jc1OMX8lXYev5e0nbg/2Fjo2jJ4P0om41F/2ld0xfAwJiDa0VLg8HlujWI
1dA9k+sxCokRDS5gBDUaT3XGoUqizfHNeB58nauJLyhh7cy0ptSZqli/BBrDOJPFDr0MoyuZsLcU
D9Rz6Zbf6gJ378qQLXizaEw7L8R8BlgzoMcWtzSG7eXUhWsWzQVAaEDA7Hhpaihb5LjKdVLiiurC
plwPcyH3Stcic0u1duPoc7vO+byvJxiiREtn63mwMmWtSpTv0ZwlH9Y4piwRfaB6Vim093BMtCdl
kONpjM0cGWM1kMQXWvTWjGmurIFlFyhGzKVmnY5pna7N1OBlq3XWb5U6JiIQD1nvl5TeL6U+GwvT
VCK7GAtdfcIHFd0vN2NIx8m0nakqLJ6FoTy6nVlvKrP7q/Q9zdgfGv0GDVQqjJy4lqqpvfRW/9jx
LEK7h8SbEfGAQoqeo2LvtSJQZtP+D1eVfxNVWlqnf0wU/PiNHO2nbyShb88ThFAPQwmwijjqd44+
Jb7JA/L5599K//mHom4ibGzLJpoYg/TCTwd+rRhKaQY1wT5i1888iaA4GgB95dXwVnihb1zFTDcZ
NP/nxzYmWUA29y/vHT+VaZlq+OlV/HTLCSoZDFMIubzx2YXlA5GeCyF404993IJb9xY2LZgNRrZ+
Bbbs4o3j/cU78fO7/v012Lph8Qteeto/vYZomLIkK3gnOjdZ5yLc5gIbMfoYwUySepfXTDG1766i
+WHlrlNIH0o8e2ETbYKYAKWAi1heKvO2MTMwfmRsgxMO0E2tz15tXcpUW/3FC15e0B8fk59f8E8A
zWZgmRchLxgWHZnX++ayYIkIhWyzIyJqf6W8leSOLRpdM9AXZfPn31/7qzdsCcb8IdvmlgEnr+UN
Q3CIGVFdq36xAX61x8HymL3Jq3bb/ZoJeR//K/ws/80nQ1u+5p/9zMtr+sP3FDLngTUJlwZnBhGg
6kIWA8fmJXfyqtzgdvyrN/lfAnzLk7kkMIRKHMP++fMhkrpK55Qns/WU69aDkEoVzrfJpV2nO/Bp
vntFz/tQ77Pd2tzk5E13vyFL/1Zj6X9nGYeKC5HMZTX4k0pO/B69/ej5+Odf+62IYzu/0E+1CKPo
hmOopDv/2YXSkGtRv3EJf9om9HuemN+6UPYvhk6TwkX+SmEFRywP2+9dKGf5Z64QREWXHpbzd8Iy
GD1+eGwpqxg0uhyKTGjl6ImpPz223F3GogXiz5XPKbwkSfBxdHpvXk/ZXO+oEAbXWNwZcLD7zj7q
bpCfiziZ3+qWEG3axOpZobqKTcPNzh0w6rMM24LbvZku26iC/mg0+JOmZDahKmJzbSea5eNtvgny
4HqeNW8Qukm5xIpxZkRFaN7I2SL8UfMeMABhaDGtCoN2wio0lAxCBmeFr1K37D3WzoEbWxaYD9Vo
MxEncucwh65EVNoqJzO13GdhDNQ4nEkRZ5FO9S6I6vBJRb3khZTtt3UDz7tC7sXnI5y2FNTTJ6mm
8WasU+2Gd7M+2KESfdZtqu+NNk8hM/ZITEup3jgJfJJkcOxT2OQ97B46Ardoau0zVbjxzVaH8cvM
YhXsdu/GPjro7lKGTgiZgGr/gxGH4kADsDvRE8dt61BmfWraCjxMMLA+jfp0NMn8HNTESIpNrDTt
zh0bBsB0NxU77hcjMz0UMW6CIEJQgDz6wZwYgcMyYdzl+dQoa2oezTGuTSKrqqZTNkma4aXtmShB
DI/LCCGtfuY8X29VvQY/ih39G46FjPN92HyrsqhIV4hcbdL42NduZaM0JwsZysnA7/VgZFLuUsl0
lhZkRbyKA6wMorKi3itIJHmw8TnBdZoTvUqXgYSy7Zngn9D53gYDWrQV/rjpqXSj4dVu8/zW4uqw
Ic8SZOvIDqgkgk3/VgbU3XR11C4j3jfQ+iZXhpgTYOMpbT7v9bIbHkRQmWhIO3tvoVpah507xp7C
fZQrjeK4DIZGcFlCvUqPbpp3px4L4YeU+YIXonz/UCUk+lsl5U7VVvDjEdHHHDbJwmwqRhrvaOwZ
T3PYRVtyQhn+NmEflQplw7YwepPosGXF3wzKGJe+xZzWKFne7zoFTKfidswcVr2bHu12HnHAGYzB
sAwwcxIEwbZ0NfXMxTf/MkNBCatKtMILVKM/GZz5fZ0WFXMbSIU9KZziawjwMXOdiOiB8AGkfxnZ
FlcU0TMNHNGJVEM5k/k3MrInvSi2fdLgusSR8hAh0KO1YDndhxszo9fPeXbTFbkkvjVSpSCSRfzY
kKF2G0fO7JvaiFDXyeH3xcT3vCi3Cx+LRnTppRv4PDRcZmdzHnKSPJa9YTlLPwe3GfZq3pjbXFFU
umQGc25jukzsoQdNvQn/2zFxuuyJzi7pqh5RwRcX1cBL41k+DVasMvQsKgLKuugrsqK0gZnSNsjo
6bJqrhVcbG9DX4xI+FwGQbNYMk5hp+GlEgOjFUXJP6v0djclM4N+SVvui87KDnZFHIpmkZZ7Cgcj
fHqt20HWK/pD1o3yOGdEj0QW96+xrlGQKxxIVQnGGiB8CrbVXu3M6hZBkK7tIyccTkPdzPmhoFnP
BNPYjTR1pvxJWkawVHBCGe0N1m5usqM5v6SzDlnBmVUZrrgEKVe9rccMelnJcNMbNHsGdSheFJ3s
SSOn4NJNdQpmQqIh9jQu6rbvUsetbrHLo8PAgXcSDTEU4j5qgGGHtr9ThhXqCBlJX+StFm3cqNDx
htTZhAstHC99Y8WbLK84m0RlRv0unQ3nuRE8uH1WQe2uGpPwStO2Km6PJcSXBHQ616Zm5OeAQOWT
oxvYkiytMVdyQAdIH7eyhJ+YIvsQgxIlx4LrA8cM6jEfqOzo+Oe1wT2ymqPkKTMbpVuhkVKYVQmD
kVNz6QAOT4zUeCicGsNt18qYwbtBl+tpcF2GcYTanwPRGe/lXFqgoCx0w1t1VGi9WVbZOV6hzFCa
6eBGTMImfQrPTwQMmLu1BrB7UI41QblP1JKkOTs+/0SPzYhRTsvOx7vIpPS8Qnk6fuZdpzU+DybP
rEku4CrGLB15QT6mN0rhWK9BE48zcz8y2QcF3jmviUVFdX2Iu6+Mdh3zCdpip0FV1Hw0owEnrTZn
7stDHr52o6vcBUFBI7YdDdJsed0eHDaRG3WY823npuSTEkVQzOs0A6hTQdRg1ZZafR+UMe9jGZlO
5Le6RuyzEF3brp3ervZ210m6GGoznCyb2NyK3q3+UiZFGOwFV1wbn55rVbvAKqd0yy/Y6tdBlwSf
7FLic5ganVB8GcXjsSCuh+eOCZVjZUwJNrowG7vVxFP3EHVufi9jU/+kXTHpB3Vyo/c5jNhPCLpZ
SGgVlbJ84erUNvn83evzHJIrtadJPdR1aWGrFlNItitprFPVoPxchzz1r4Rp7dfFPvxSWZX0JzFX
58lIGFSbqzJw12NT5Ev5LA30p8BwA9XXMqdKDiEVBZxUBcmRht352g5TJ4Ja1NGFmEzu9pt6KvSN
0qoSFh2d/tJCGUykLHa9NqwEDh0tcV9MmZsPrS2tdKWJ0m6ZKMATouIjZwp2cC+uxutpVDve6hxm
GKajZ7OjxPs5WLp8dGuKARSrMunbqabyc4nGF1J1t4VswYq6RfemaSKnGxQzOVZR/m/NWL8tSIe8
akmB+KilZrDO2ASTdTzKZGuaivioU2f89Tr0t07p/9PiX78dpLk4/ufztxc3rAhtSSO1irFdkFAv
2vhXTd8///4/uqnGL9jxXBqHnLh/PWz/ZrogtM4tHz2i0H5zXfx+Djd/ESxZGg1TFU+GppNM/8c5
3ECPoRIHExjZ0GSgwP5b53DxL+dwZjQMXbfJxuP4062fqh00MNt0NFKghXrTXttWA7smndJVmzcf
BDGAacRwHYxEOxepy0DOYDDeslTgehOic41onHbIqmunFzN2j5ZMX113OPatceuaLYIZXduldM7W
OWUr6QRPiUtOmaX6WpUCElElHtupBYLqjpdQzZ8ptgpGOWdrXSPCXTlogzxH4QJgx0znuPkM11cB
ONJgk5NjYpySMr+N6Gyugno6ZmToPNfNb+UAbqCWbGbUgSln53p2UcNA7KexYmY9rAHI1Qmwh55A
BD2CZhU0oMLN/CM3ImZHFWs4R4svquuHmyitam+a1dGjcYo2QKV2oDNxGRFmkg2y9CGsb2xzhIY/
C7kbO44+dZBlxDRaSIxRdKu1xeOMnBruAtNWSl7e8Nvo/Sjudv9N3ZUsN4ps0V9x9PoRwSAERHRX
hIVVclmDLU9V9obAsgzJPCQI+Jte1qIWHf0J+rF30GALWUZdLb16wdKSnOTNTG7e4dx73JYxBnU3
yoYK4bbtKm6HsRRw1LBKl6KADhF7mAJYa7cneeD8afH03suQqTCz6MIGn6DK8yx7lhAC9CsYHlVJ
geGWKRmiLkEL5TK+kH9mqYUrg2NicCYIyF4E2RWxi295gdYdnGGdg45x0EqNK9oGD5eh5QMuR3G5
opHrtpCdK4l5k0szMKOBmyAC/gfsYzHK0GCVgwiWuabgMlH9DP5AhDAo2LPuwKmCbucBeCVkR/hq
u4XVT6JQL3gFBfscLGig+xhVRuwOLRlyYFGs1jCX7a8ssL8gWYRNLTnAe1GDZbooW4zVYpZgK2T5
HH4HSoZiw3tx4DECEuWmPdLKky5LEKJic+8m9u173g2CPiifY/TUMr7NHDfqSb7EnsU5cg1wbS1k
WQpj1Mo8o8/w3tcQdLkdJLHQ191C+gg+BMhlOUZQOYp4t0ytEB0U+K5hYgeBmBnbkXcBE4FVPbYV
ApeDCuZQ4++TJIONHPjg5yUiotvgsUMq1QZRa0vLOtDlPaSn0I/DQVswy8u+uaxzGyioaAP+rCsk
mSqwETC+kYs+BI5ldIjlox+naIdq5hfXMNEBP6SSc4dEKGroIgG9kpOiDxaoidlizkCLjgpcsx10
oxnqxX0NnXxACovz19JU1Emgcs+XTbwP3jgE3e0Q0WtyVmSo11CsYGy3Ba0DW01vC8aDXd6aQYwq
EM95sto8TolMB9RT7uG9gYZdjoPuLM+znhPC1vNksIpwGen7weyOTRk9Upy+C+O3I5GUgjQWWAkT
9NAKd4aU/4XPO2NXQz8WV5DhD87IGBbVE9TTZxfVmo4noZeXKF8VgXVOI7SCM+LPfGFdpak9pOjl
UJhpHxBWZG+sL0Hg3QBB1LccuMEQvcuyAe0kvNADi/ejpvBTLhcmWZjfSnImAB+WgdoehPSEeoNQ
KFd4Fk+FXIk7RUF7CjBSHUvKb3nc+zTmw47mOX2OosQUZSLXLZihSMO7D74JDeZL6ZNgkqFjEWWU
UXtoA/IYWBTcCBTpDRoLwNgb9hPh5dsZjV9a4ORTNQcdniVyITLpKFf8SyL5F0YhD1NGHCemgxer
heS4IVvIHHv5QHYyEJKa3LeikCy0IZEGhPVAxML410gN9FkqP0ak/VRYKK5pU0Ti5OhaiqQHFngM
PhWmvGFcglMIiSnSm0Vo4MUFfYOPH23gG0cpSmRkRkwHDmekF8QRXhwu7ucpim/hSRqOIqke1SZF
GA1bPGpCc+XS98Fl6EYxko9Wz4/Q30hLgFqT8WHGaxdadqnEXIfVOPRDtrQX2gYXnAhjxWbQmT+A
1wbb6CwOw76dWqQjuYJ45orCY5BDd4FzdERAk/zFK9CoD0nfPk6arCrEkwbAlqAMFOTDgO27UNzI
ONtEAwUEymvUDIfX4hQQZoTgVvQC4naDsADRHxOgg4Ni9mHvisBSUvQTEN1x6uEtR2JzJAr5lQQN
eMYXsR62CXqDtLUbjS/BIRp6lRhI4WmmCN40CchkWIzXThJFYK0pQKZXIHtcPGiycpf67JcwEaEv
SFkMnzEoUeA5UADmlII9Gf0xck1C1TqV+iJBNxoO1IlOaj/Bb5qdC4HGXbp5gOaiIltcmiboF1Ep
c8d7EjCsOEid3MGyxZGJRqcoFxvBtr6S7BitSe0U5Vypw6KEwObhQIDnVLbdsSax4LaxOKRCE8yk
DReiA77Ifpprn22XvURMnummkU969sxE5z+Uxgg8mlLTmfPiRPQSGdsyaoD7QCisexCeP4MZsWfy
zH0Kyj5Y/1oxKPikG5Oc7zC+dC7GeB0j5mvGIYQitk3UuKKjg1jgNRSBiDSsCOUsOTcEy5Z5iQVD
Ww8BK4Pk9cMsRaUrx7UfbcUGP+4MFIwBEVuAVfOcajvoYiOSZbD8pyzS/2/ceDXVM7CkdRdG4ziZ
Rvn1NE4cGn/6fRn2B7bUeV58Tabxz/zg4wE2TFSYeJXf3ebBdPnopRlb/v1Jf3YBeV4YuhP6eznr
jS8XfyM9sZjn6t9Xgr2feuVZa6HWH56TaaRH6Ae1+CJfzXKku9M/flN1kFnHm8a1KJaowreJ/PFb
ZZobNnvduLVE2Ys9KUX6d2N/XBxy4MD/AL154BNGfkRLfOiSx897nkbrpS7pxxUkCkQWbtGhqz/S
IzL/y18PtB4bTs36o3+/+kPdeNadaZV8EDOXW2Wm7tCZq/O/o2f/SV+PtJw6HDAFaciDB9/G5MIZ
g493hGkj0Tj/kepbu8lzSOIdPu1T6sz/xMGbbG0omOSPMjx4j32vqgSWHvYxNvQqoYmr55Wpr0Y/
wtLc60kw/17RX6vBkdw7/LiACZrO/1yPVJ7F1egoHDt09F6ip0SPpuuRNkZHGvHQ0c8T4lReouXE
y3L6Q4fGxIk3/7FrdO7w0ccJ8Z7nP3acF/4oGmARTDpZX7rr+b4tPn8E9Tuc0l2rgzzvoWuvJt4z
eF9dXOe7nnAETXZfm/c+8PpT9Vj3dp75shTz0MU5jbb1++rQH+F96vi5PtmlCo5xpaqmP5n/vV6A
t7MoHOHEn2LL/DAhO46LcISjvq+ryIEH5iaZ7NKQrSMoGnUaV+/r5WFpHeHiGOgnUJIWiXYsehn7
PfSgY9HX/NAnuvd8skERvR787RAtGKFrt2GXV/Gp4n50y/+vukl7f/DqaF3hhffojiH2/2LtwewY
YrWIb3KWxsprOmHxtKqnc7pl5tRbwBtPXA9TPqrcPTxktWIbP9penBW07CPRf0ow2El1gm1bWM0R
bBOAtWPHtoy75siFu6xuw1S9alc2RzBcpHWCbZu0jRGsNIvrBKtY082Raqmslqpox/u1bcg3RzDY
RXXbte1DNEcwuAh1gm06Fs0Ras/FvMunaY5w++6wqjvVHLn23mFVT645gu25w6pOZGPEKt3QOs2x
5b82R649qr7qOjdHLLjeddv1zmtvjmR7vJV3AYPGSFYGHer2rBKraI5Uey6wSpikMVKt/PQPTd/3
EZrmiLZHI54i00sCMv/u6Ia/SjWuo0X/2QwVneTLLCQQlsBXIqq8jh01YCl4CXDP+tfxXQa6AWIB
Dqzs0Z+n7vx7RCb6osnQTRJVN23iI1LnTT26sTYbUarNUJaAQqWl0fCLolnCVtPHHR5pNbPfhA3b
agi1Q6YPQAVNEO71hHyoR6unL3B0b7o8er/oTO3T86rv+O7TW/JjueoTP/FoCQgyiO/9gzfl9a38
VVItIDh1tkYVttOAs/QKbamT6mN0TEMkXABsaiWsAnOaIdYS2VMn1jtMUCMEW6GK6gTbhiM1Q64l
pqlWrs1MeSOEWmGp6oTaBmE1Q64liKtOrvf4r/+tZPtuOeRty59MnKkeffovAAAA//8=</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1323975</xdr:colOff>
          <xdr:row>14</xdr:row>
          <xdr:rowOff>38100</xdr:rowOff>
        </xdr:from>
        <xdr:to>
          <xdr:col>0</xdr:col>
          <xdr:colOff>2943225</xdr:colOff>
          <xdr:row>15</xdr:row>
          <xdr:rowOff>152400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Nunito"/>
                </a:rPr>
                <a:t>Buscar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752475</xdr:colOff>
          <xdr:row>14</xdr:row>
          <xdr:rowOff>19050</xdr:rowOff>
        </xdr:from>
        <xdr:to>
          <xdr:col>1</xdr:col>
          <xdr:colOff>2371725</xdr:colOff>
          <xdr:row>15</xdr:row>
          <xdr:rowOff>133350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Nunito"/>
                </a:rPr>
                <a:t>Guardar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546101</xdr:colOff>
      <xdr:row>0</xdr:row>
      <xdr:rowOff>128058</xdr:rowOff>
    </xdr:from>
    <xdr:to>
      <xdr:col>14</xdr:col>
      <xdr:colOff>508000</xdr:colOff>
      <xdr:row>22</xdr:row>
      <xdr:rowOff>89958</xdr:rowOff>
    </xdr:to>
    <xdr:grpSp>
      <xdr:nvGrpSpPr>
        <xdr:cNvPr id="3" name="Grupo 2">
          <a:extLst>
            <a:ext uri="{FF2B5EF4-FFF2-40B4-BE49-F238E27FC236}">
              <a16:creationId xmlns:a16="http://schemas.microsoft.com/office/drawing/2014/main" id="{CAE3B3D2-E90C-1881-7A16-39D26DA4D2A3}"/>
            </a:ext>
          </a:extLst>
        </xdr:cNvPr>
        <xdr:cNvGrpSpPr/>
      </xdr:nvGrpSpPr>
      <xdr:grpSpPr>
        <a:xfrm>
          <a:off x="4948768" y="128058"/>
          <a:ext cx="8343899" cy="4322233"/>
          <a:chOff x="5876926" y="180975"/>
          <a:chExt cx="8343899" cy="4305300"/>
        </a:xfrm>
      </xdr:grpSpPr>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5876926" y="190499"/>
          <a:ext cx="3105149" cy="2066926"/>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cx1="http://schemas.microsoft.com/office/drawing/2015/9/8/chartex" Requires="cx1">
          <xdr:graphicFrame macro="">
            <xdr:nvGraphicFramePr>
              <xdr:cNvPr id="5" name="Gráfico 4">
                <a:extLst>
                  <a:ext uri="{FF2B5EF4-FFF2-40B4-BE49-F238E27FC236}">
                    <a16:creationId xmlns:a16="http://schemas.microsoft.com/office/drawing/2014/main" id="{00000000-0008-0000-0500-000005000000}"/>
                  </a:ext>
                </a:extLst>
              </xdr:cNvPr>
              <xdr:cNvGraphicFramePr/>
            </xdr:nvGraphicFramePr>
            <xdr:xfrm>
              <a:off x="5876926" y="2438400"/>
              <a:ext cx="3106800" cy="199440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5876926" y="2438400"/>
                <a:ext cx="3106800" cy="1994400"/>
              </a:xfrm>
              <a:prstGeom prst="rect">
                <a:avLst/>
              </a:prstGeom>
              <a:solidFill>
                <a:prstClr val="white"/>
              </a:solidFill>
              <a:ln w="1">
                <a:solidFill>
                  <a:prstClr val="green"/>
                </a:solidFill>
              </a:ln>
            </xdr:spPr>
            <xdr:txBody>
              <a:bodyPr vertOverflow="clip" horzOverflow="clip"/>
              <a:lstStyle/>
              <a:p>
                <a:r>
                  <a:rPr lang="en-GB" sz="1100"/>
                  <a:t>Este gráfico no está disponible en su versión de Excel.
Si edita esta forma o guarda el libro en un formato de archivo diferente, el gráfico no se podrá utilizar.</a:t>
                </a:r>
              </a:p>
            </xdr:txBody>
          </xdr:sp>
        </mc:Fallback>
      </mc:AlternateContent>
      <mc:AlternateContent xmlns:mc="http://schemas.openxmlformats.org/markup-compatibility/2006">
        <mc:Choice xmlns:cx6="http://schemas.microsoft.com/office/drawing/2016/5/12/chartex" Requires="cx6">
          <xdr:graphicFrame macro="">
            <xdr:nvGraphicFramePr>
              <xdr:cNvPr id="40" name="Gráfico 39">
                <a:extLst>
                  <a:ext uri="{FF2B5EF4-FFF2-40B4-BE49-F238E27FC236}">
                    <a16:creationId xmlns:a16="http://schemas.microsoft.com/office/drawing/2014/main" id="{00000000-0008-0000-0500-000028000000}"/>
                  </a:ext>
                </a:extLst>
              </xdr:cNvPr>
              <xdr:cNvGraphicFramePr/>
            </xdr:nvGraphicFramePr>
            <xdr:xfrm>
              <a:off x="9115425" y="180975"/>
              <a:ext cx="5105400" cy="430530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9115425" y="180975"/>
                <a:ext cx="5105400" cy="4305300"/>
              </a:xfrm>
              <a:prstGeom prst="rect">
                <a:avLst/>
              </a:prstGeom>
              <a:solidFill>
                <a:prstClr val="white"/>
              </a:solidFill>
              <a:ln w="1">
                <a:solidFill>
                  <a:prstClr val="green"/>
                </a:solidFill>
              </a:ln>
            </xdr:spPr>
            <xdr:txBody>
              <a:bodyPr vertOverflow="clip" horzOverflow="clip"/>
              <a:lstStyle/>
              <a:p>
                <a:r>
                  <a:rPr lang="en-GB" sz="1100"/>
                  <a:t>Este gráfico no está disponible en su versión de Excel.
Si edita esta forma o guarda el libro en un formato de archivo diferente, el gráfico no se podrá utilizar.</a:t>
                </a:r>
              </a:p>
            </xdr:txBody>
          </xdr:sp>
        </mc:Fallback>
      </mc:AlternateContent>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nidadvictimas-my.sharepoint.com/personal/diana_gutierrez_unidadvictimas_gov_co/Documents/DIANA%20G%20SRC/SRC/PLANEACION/SEGUMIENTO%20SUJETOS/SEGUIMIENTO%20FORMULADORES%20PIRC/MATRIZ%20SEGUIMIENTO%20PIRC.xlsx" TargetMode="External"/><Relationship Id="rId1" Type="http://schemas.openxmlformats.org/officeDocument/2006/relationships/externalLinkPath" Target="/Users/cmcri/Downloads/MATRIZ%20SEGUIMIENTO%20PIR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RONOGRAMA PIRC 4T 2023"/>
      <sheetName val="CRONOGRAMA PIRC 4T 2023 (2)"/>
      <sheetName val="Hoja3"/>
      <sheetName val="Hoja1"/>
      <sheetName val="MATRIZ SEGUIMIENTO PIRC"/>
    </sheetNames>
    <sheetDataSet>
      <sheetData sheetId="0"/>
      <sheetData sheetId="1"/>
      <sheetData sheetId="2"/>
      <sheetData sheetId="3"/>
      <sheetData sheetId="4" refreshError="1"/>
    </sheetDataSet>
  </externalBook>
</externalLink>
</file>

<file path=xl/richData/_rels/rdRichValueWebImage.xml.rels><?xml version="1.0" encoding="UTF-8" standalone="yes"?>
<Relationships xmlns="http://schemas.openxmlformats.org/package/2006/relationships"><Relationship Id="rId13" Type="http://schemas.openxmlformats.org/officeDocument/2006/relationships/hyperlink" Target="https://www.bing.com/th?id=OSK.70d7544d1e5584d6d6f64d0e77f29720&amp;qlt=95" TargetMode="External"/><Relationship Id="rId18" Type="http://schemas.openxmlformats.org/officeDocument/2006/relationships/hyperlink" Target="https://www.bing.com/images/search?form=xlimg&amp;q=Casanare%20Department" TargetMode="External"/><Relationship Id="rId26" Type="http://schemas.openxmlformats.org/officeDocument/2006/relationships/hyperlink" Target="https://www.bing.com/images/search?form=xlimg&amp;q=C%c3%b3rdoba%20Department" TargetMode="External"/><Relationship Id="rId39" Type="http://schemas.openxmlformats.org/officeDocument/2006/relationships/hyperlink" Target="https://www.bing.com/th?id=OSK.9017a290a9104013a342bbcaeee4d8d8&amp;qlt=95" TargetMode="External"/><Relationship Id="rId21" Type="http://schemas.openxmlformats.org/officeDocument/2006/relationships/hyperlink" Target="https://www.bing.com/th?id=OSK.50f82463bc8bf005729517c6a554bb93&amp;qlt=95" TargetMode="External"/><Relationship Id="rId34" Type="http://schemas.openxmlformats.org/officeDocument/2006/relationships/hyperlink" Target="https://www.bing.com/images/search?form=xlimg&amp;q=Huila%20Department" TargetMode="External"/><Relationship Id="rId42" Type="http://schemas.openxmlformats.org/officeDocument/2006/relationships/hyperlink" Target="https://www.bing.com/images/search?form=xlimg&amp;q=Norte%20de%20Santander%20Department" TargetMode="External"/><Relationship Id="rId47" Type="http://schemas.openxmlformats.org/officeDocument/2006/relationships/hyperlink" Target="https://www.bing.com/th?id=OSK.223373b4bc59d6dbe3dd720eb52ca606&amp;qlt=95" TargetMode="External"/><Relationship Id="rId50" Type="http://schemas.openxmlformats.org/officeDocument/2006/relationships/hyperlink" Target="https://www.bing.com/images/search?form=xlimg&amp;q=Archipelago%20of%20San%20Andr%c3%a9s,%20Providencia%20and%20Santa%20Catalina" TargetMode="External"/><Relationship Id="rId55" Type="http://schemas.openxmlformats.org/officeDocument/2006/relationships/hyperlink" Target="https://www.bing.com/th?id=OSK.50f7abcdb0c11619dff0ecaf8955c122&amp;qlt=95" TargetMode="External"/><Relationship Id="rId7" Type="http://schemas.openxmlformats.org/officeDocument/2006/relationships/hyperlink" Target="https://www.bing.com/th?id=OSK.1a7bf46d06f376bef371e933ec357fe2&amp;qlt=95" TargetMode="External"/><Relationship Id="rId2" Type="http://schemas.openxmlformats.org/officeDocument/2006/relationships/hyperlink" Target="https://www.bing.com/images/search?form=xlimg&amp;q=Amazonas%20Department" TargetMode="External"/><Relationship Id="rId16" Type="http://schemas.openxmlformats.org/officeDocument/2006/relationships/hyperlink" Target="https://www.bing.com/images/search?form=xlimg&amp;q=Caquet%c3%a1%20Department" TargetMode="External"/><Relationship Id="rId20" Type="http://schemas.openxmlformats.org/officeDocument/2006/relationships/hyperlink" Target="https://www.bing.com/images/search?form=xlimg&amp;q=Cauca%20Department" TargetMode="External"/><Relationship Id="rId29" Type="http://schemas.openxmlformats.org/officeDocument/2006/relationships/hyperlink" Target="https://www.bing.com/th?id=OSK.40e1edc8f19de643c2544c85de4adb70&amp;qlt=95" TargetMode="External"/><Relationship Id="rId41" Type="http://schemas.openxmlformats.org/officeDocument/2006/relationships/hyperlink" Target="https://www.bing.com/th?id=OSK.77eab40e40fb654ca5330a0afe4620ce&amp;qlt=95" TargetMode="External"/><Relationship Id="rId54" Type="http://schemas.openxmlformats.org/officeDocument/2006/relationships/hyperlink" Target="https://www.bing.com/images/search?form=xlimg&amp;q=Sucre%20Department" TargetMode="External"/><Relationship Id="rId62" Type="http://schemas.openxmlformats.org/officeDocument/2006/relationships/hyperlink" Target="https://www.bing.com/images/search?form=xlimg&amp;q=Vichada%20Department" TargetMode="External"/><Relationship Id="rId1" Type="http://schemas.openxmlformats.org/officeDocument/2006/relationships/hyperlink" Target="https://www.bing.com/th?id=OSK.0f0ef790f79da9a9faab3c2900cfcc58&amp;qlt=95" TargetMode="External"/><Relationship Id="rId6" Type="http://schemas.openxmlformats.org/officeDocument/2006/relationships/hyperlink" Target="https://www.bing.com/images/search?form=xlimg&amp;q=Arauca%20Department" TargetMode="External"/><Relationship Id="rId11" Type="http://schemas.openxmlformats.org/officeDocument/2006/relationships/hyperlink" Target="https://www.bing.com/th?id=OSK.b321d9eef8e1ce825991ccab256b7d9e&amp;qlt=95" TargetMode="External"/><Relationship Id="rId24" Type="http://schemas.openxmlformats.org/officeDocument/2006/relationships/hyperlink" Target="https://www.bing.com/images/search?form=xlimg&amp;q=Choc%c3%b3%20Department" TargetMode="External"/><Relationship Id="rId32" Type="http://schemas.openxmlformats.org/officeDocument/2006/relationships/hyperlink" Target="https://www.bing.com/images/search?form=xlimg&amp;q=Guaviare%20Department" TargetMode="External"/><Relationship Id="rId37" Type="http://schemas.openxmlformats.org/officeDocument/2006/relationships/hyperlink" Target="https://www.bing.com/th?id=OSK.fcf0764f87f62c749343d5c139dce644&amp;qlt=95" TargetMode="External"/><Relationship Id="rId40" Type="http://schemas.openxmlformats.org/officeDocument/2006/relationships/hyperlink" Target="https://www.bing.com/images/search?form=xlimg&amp;q=Nari%c3%b1o%20Department" TargetMode="External"/><Relationship Id="rId45" Type="http://schemas.openxmlformats.org/officeDocument/2006/relationships/hyperlink" Target="https://www.bing.com/th?id=OSK.d091b9373f80231b44ad71fa6d5d107f&amp;qlt=95" TargetMode="External"/><Relationship Id="rId53" Type="http://schemas.openxmlformats.org/officeDocument/2006/relationships/hyperlink" Target="https://www.bing.com/th?id=OSK.d2b7c3cb65faea4301811450307fc742&amp;qlt=95" TargetMode="External"/><Relationship Id="rId58" Type="http://schemas.openxmlformats.org/officeDocument/2006/relationships/hyperlink" Target="https://www.bing.com/images/search?form=xlimg&amp;q=Valle%20del%20Cauca%20Department" TargetMode="External"/><Relationship Id="rId5" Type="http://schemas.openxmlformats.org/officeDocument/2006/relationships/hyperlink" Target="https://www.bing.com/th?id=OSK.adf838d484cadabd475e4aee7c22eb67&amp;qlt=95" TargetMode="External"/><Relationship Id="rId15" Type="http://schemas.openxmlformats.org/officeDocument/2006/relationships/hyperlink" Target="https://www.bing.com/th?id=OSK.97bbcaa03c0c57e293978761a477b621&amp;qlt=95" TargetMode="External"/><Relationship Id="rId23" Type="http://schemas.openxmlformats.org/officeDocument/2006/relationships/hyperlink" Target="https://www.bing.com/th?id=OSK.92f5172c7f52c7d566e3aebe9d1f4026&amp;qlt=95" TargetMode="External"/><Relationship Id="rId28" Type="http://schemas.openxmlformats.org/officeDocument/2006/relationships/hyperlink" Target="https://www.bing.com/images/search?form=xlimg&amp;q=Cundinamarca%20Department" TargetMode="External"/><Relationship Id="rId36" Type="http://schemas.openxmlformats.org/officeDocument/2006/relationships/hyperlink" Target="https://www.bing.com/images/search?form=xlimg&amp;q=La%20Guajira%20Department" TargetMode="External"/><Relationship Id="rId49" Type="http://schemas.openxmlformats.org/officeDocument/2006/relationships/hyperlink" Target="https://www.bing.com/th?id=OSK.4e7eea0ee713c22ea4935b4ad4a7c84c&amp;qlt=95" TargetMode="External"/><Relationship Id="rId57" Type="http://schemas.openxmlformats.org/officeDocument/2006/relationships/hyperlink" Target="https://www.bing.com/th?id=OSK.923867780e242794de0eec3bfd8eadd9&amp;qlt=95" TargetMode="External"/><Relationship Id="rId61" Type="http://schemas.openxmlformats.org/officeDocument/2006/relationships/hyperlink" Target="https://www.bing.com/th?id=OSK.11a372dfef46aa0e93a3532613ef8c20&amp;qlt=95" TargetMode="External"/><Relationship Id="rId10" Type="http://schemas.openxmlformats.org/officeDocument/2006/relationships/hyperlink" Target="https://www.bing.com/images/search?form=xlimg&amp;q=Bol%c3%advar%20Department" TargetMode="External"/><Relationship Id="rId19" Type="http://schemas.openxmlformats.org/officeDocument/2006/relationships/hyperlink" Target="https://www.bing.com/th?id=OSK.e3663ba22afe097931cacab57c89b50c&amp;qlt=95" TargetMode="External"/><Relationship Id="rId31" Type="http://schemas.openxmlformats.org/officeDocument/2006/relationships/hyperlink" Target="https://www.bing.com/th?id=OSK.fbf39a7dfee0ea7e43126b5a4eda3b6d&amp;qlt=95" TargetMode="External"/><Relationship Id="rId44" Type="http://schemas.openxmlformats.org/officeDocument/2006/relationships/hyperlink" Target="https://www.bing.com/images/search?form=xlimg&amp;q=Putumayo%20Department" TargetMode="External"/><Relationship Id="rId52" Type="http://schemas.openxmlformats.org/officeDocument/2006/relationships/hyperlink" Target="https://www.bing.com/images/search?form=xlimg&amp;q=Santander%20Department" TargetMode="External"/><Relationship Id="rId60" Type="http://schemas.openxmlformats.org/officeDocument/2006/relationships/hyperlink" Target="https://www.bing.com/images/search?form=xlimg&amp;q=Vaup%c3%a9s%20Department" TargetMode="External"/><Relationship Id="rId4" Type="http://schemas.openxmlformats.org/officeDocument/2006/relationships/hyperlink" Target="https://www.bing.com/images/search?form=xlimg&amp;q=Antioquia%20Department" TargetMode="External"/><Relationship Id="rId9" Type="http://schemas.openxmlformats.org/officeDocument/2006/relationships/hyperlink" Target="https://www.bing.com/th?id=OSK.22cdef3c2846cd7c851c344080453b53&amp;qlt=95" TargetMode="External"/><Relationship Id="rId14" Type="http://schemas.openxmlformats.org/officeDocument/2006/relationships/hyperlink" Target="https://www.bing.com/images/search?form=xlimg&amp;q=Caldas%20Department" TargetMode="External"/><Relationship Id="rId22" Type="http://schemas.openxmlformats.org/officeDocument/2006/relationships/hyperlink" Target="https://www.bing.com/images/search?form=xlimg&amp;q=Cesar%20Department" TargetMode="External"/><Relationship Id="rId27" Type="http://schemas.openxmlformats.org/officeDocument/2006/relationships/hyperlink" Target="https://www.bing.com/th?id=OSK.63da449f1d73b8eb45c86bb6264b8665&amp;qlt=95" TargetMode="External"/><Relationship Id="rId30" Type="http://schemas.openxmlformats.org/officeDocument/2006/relationships/hyperlink" Target="https://www.bing.com/images/search?form=xlimg&amp;q=Guain%c3%ada%20Department" TargetMode="External"/><Relationship Id="rId35" Type="http://schemas.openxmlformats.org/officeDocument/2006/relationships/hyperlink" Target="https://www.bing.com/th?id=OSK.45aab7ee5a4266f8ddd8338341bf62b2&amp;qlt=95" TargetMode="External"/><Relationship Id="rId43" Type="http://schemas.openxmlformats.org/officeDocument/2006/relationships/hyperlink" Target="https://www.bing.com/th?id=OSK.f8d761d09432b8560c53813ecb000dbc&amp;qlt=95" TargetMode="External"/><Relationship Id="rId48" Type="http://schemas.openxmlformats.org/officeDocument/2006/relationships/hyperlink" Target="https://www.bing.com/images/search?form=xlimg&amp;q=Risaralda%20Department" TargetMode="External"/><Relationship Id="rId56" Type="http://schemas.openxmlformats.org/officeDocument/2006/relationships/hyperlink" Target="https://www.bing.com/images/search?form=xlimg&amp;q=Tolima%20Department" TargetMode="External"/><Relationship Id="rId8" Type="http://schemas.openxmlformats.org/officeDocument/2006/relationships/hyperlink" Target="https://www.bing.com/images/search?form=xlimg&amp;q=Atl%c3%a1ntico%20Department" TargetMode="External"/><Relationship Id="rId51" Type="http://schemas.openxmlformats.org/officeDocument/2006/relationships/hyperlink" Target="https://www.bing.com/th?id=OSK.96a9dcf16bd93f34bf3dab7713a38fd0&amp;qlt=95" TargetMode="External"/><Relationship Id="rId3" Type="http://schemas.openxmlformats.org/officeDocument/2006/relationships/hyperlink" Target="https://www.bing.com/th?id=OSK.4f528afb287252eaa7a2eb976be36707&amp;qlt=95" TargetMode="External"/><Relationship Id="rId12" Type="http://schemas.openxmlformats.org/officeDocument/2006/relationships/hyperlink" Target="https://www.bing.com/images/search?form=xlimg&amp;q=Boyac%c3%a1%20Department" TargetMode="External"/><Relationship Id="rId17" Type="http://schemas.openxmlformats.org/officeDocument/2006/relationships/hyperlink" Target="https://www.bing.com/th?id=OSK.229d92aa83906f81e2c712a9b9ea86bc&amp;qlt=95" TargetMode="External"/><Relationship Id="rId25" Type="http://schemas.openxmlformats.org/officeDocument/2006/relationships/hyperlink" Target="https://www.bing.com/th?id=OSK.69cfad1b597c57198933d5f75adabb19&amp;qlt=95" TargetMode="External"/><Relationship Id="rId33" Type="http://schemas.openxmlformats.org/officeDocument/2006/relationships/hyperlink" Target="https://www.bing.com/th?id=OSK.665e3f8772a478e438eb02d67359cfa6&amp;qlt=95" TargetMode="External"/><Relationship Id="rId38" Type="http://schemas.openxmlformats.org/officeDocument/2006/relationships/hyperlink" Target="https://www.bing.com/images/search?form=xlimg&amp;q=Magdalena%20Department" TargetMode="External"/><Relationship Id="rId46" Type="http://schemas.openxmlformats.org/officeDocument/2006/relationships/hyperlink" Target="https://www.bing.com/images/search?form=xlimg&amp;q=Quind%c3%ado%20Department" TargetMode="External"/><Relationship Id="rId59" Type="http://schemas.openxmlformats.org/officeDocument/2006/relationships/hyperlink" Target="https://www.bing.com/th?id=OSK.d91930c7398f3d0b68683a6d15edd387&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Srd>
</file>

<file path=xl/richData/rdarray.xml><?xml version="1.0" encoding="utf-8"?>
<arrayData xmlns="http://schemas.microsoft.com/office/spreadsheetml/2017/richdata2" count="34">
  <a r="1">
    <v t="r">6</v>
  </a>
  <a r="1">
    <v t="s">Spanish language</v>
  </a>
  <a r="1">
    <v t="r">17</v>
  </a>
  <a r="1">
    <v t="r">27</v>
  </a>
  <a r="1">
    <v t="r">37</v>
  </a>
  <a r="1">
    <v t="r">47</v>
  </a>
  <a r="1">
    <v t="r">57</v>
  </a>
  <a r="1">
    <v t="r">67</v>
  </a>
  <a r="1">
    <v t="r">77</v>
  </a>
  <a r="1">
    <v t="r">87</v>
  </a>
  <a r="2">
    <v t="s">Spanish language</v>
    <v t="s">English language</v>
  </a>
  <a r="1">
    <v t="r">98</v>
  </a>
  <a r="1">
    <v t="r">108</v>
  </a>
  <a r="1">
    <v t="r">118</v>
  </a>
  <a r="1">
    <v t="r">128</v>
  </a>
  <a r="1">
    <v t="r">138</v>
  </a>
  <a r="1">
    <v t="r">148</v>
  </a>
  <a r="1">
    <v t="r">158</v>
  </a>
  <a r="1">
    <v t="r">168</v>
  </a>
  <a r="1">
    <v t="r">179</v>
  </a>
  <a r="1">
    <v t="r">189</v>
  </a>
  <a r="1">
    <v t="r">198</v>
  </a>
  <a r="1">
    <v t="r">208</v>
  </a>
  <a r="1">
    <v t="r">218</v>
  </a>
  <a r="1">
    <v t="r">229</v>
  </a>
  <a r="1">
    <v t="r">239</v>
  </a>
  <a r="1">
    <v t="r">249</v>
  </a>
  <a r="1">
    <v t="r">259</v>
  </a>
  <a r="1">
    <v t="r">269</v>
  </a>
  <a r="1">
    <v t="r">279</v>
  </a>
  <a r="1">
    <v t="r">289</v>
  </a>
  <a r="1">
    <v t="r">299</v>
  </a>
  <a r="1">
    <v t="r">309</v>
  </a>
  <a r="1">
    <v t="r">320</v>
  </a>
</arrayData>
</file>

<file path=xl/richData/rdrichvalue.xml><?xml version="1.0" encoding="utf-8"?>
<rvData xmlns="http://schemas.microsoft.com/office/spreadsheetml/2017/richdata" count="325">
  <rv s="0">
    <v>536870912</v>
    <v>Amazonas Department</v>
    <v>b1142dfe-c0da-0b16-7b5b-40e1812fc5b5</v>
    <v>en-GB</v>
    <v>Map</v>
  </rv>
  <rv s="1">
    <fb>109665</fb>
    <v>10</v>
  </rv>
  <rv s="0">
    <v>536870912</v>
    <v>Leticia</v>
    <v>ac0cad2f-4a63-01ae-741c-5559ee31c588</v>
    <v>en-GB</v>
    <v>Map</v>
  </rv>
  <rv s="0">
    <v>536870912</v>
    <v>Colombia</v>
    <v>c396e3d8-2a85-d230-f691-7850536d840e</v>
    <v>en-GB</v>
    <v>Map</v>
  </rv>
  <rv s="1">
    <fb>10003</fb>
    <v>10</v>
  </rv>
  <rv s="2">
    <v>0</v>
    <v>8</v>
    <v>0</v>
    <v>7</v>
    <v>0</v>
    <v>Image of Amazonas Department</v>
  </rv>
  <rv s="0">
    <v>805306368</v>
    <v>Jesús Galdino Cedeño (Governor)</v>
    <v>6c45263c-30c3-88e6-3b6e-a1d2287ebe02</v>
    <v>en-GB</v>
    <v>Generic</v>
  </rv>
  <rv s="3">
    <v>0</v>
  </rv>
  <rv s="4">
    <v>https://www.bing.com/search?q=amazonas+department+colombia&amp;form=skydnc</v>
    <v>Learn more on Bing</v>
  </rv>
  <rv s="3">
    <v>1</v>
  </rv>
  <rv s="1">
    <fb>79020</fb>
    <v>10</v>
  </rv>
  <rv s="5">
    <v>#VALUE!</v>
    <v>en-GB</v>
    <v>b1142dfe-c0da-0b16-7b5b-40e1812fc5b5</v>
    <v>536870912</v>
    <v>1</v>
    <v>3</v>
    <v>4</v>
    <v>Amazonas Department</v>
    <v>6</v>
    <v>7</v>
    <v>Map</v>
    <v>8</v>
    <v>9</v>
    <v>CO-AMA</v>
    <v>1</v>
    <v>2</v>
    <v>3</v>
    <v>Amazonas is a department of Southern Colombia in the south of the country. It is the largest department in area while also having the 3rd smallest population. Its capital is Leticia and its name comes from the Amazon River, which drains the ...</v>
    <v>4</v>
    <v>5</v>
    <v>2</v>
    <v>7</v>
    <v>8</v>
    <v>Amazonas Department</v>
    <v>9</v>
    <v>10</v>
    <v>Amazonas Department</v>
    <v>mdp/vdpid/10106915</v>
  </rv>
  <rv s="0">
    <v>536870912</v>
    <v>Antioquia Department</v>
    <v>d3614470-a93c-5d64-a636-9da2dff33c3d</v>
    <v>en-GB</v>
    <v>Map</v>
  </rv>
  <rv s="1">
    <fb>63612</fb>
    <v>10</v>
  </rv>
  <rv s="0">
    <v>536870912</v>
    <v>Medellín</v>
    <v>7b1377e4-8d6a-bcd0-6cb4-7b7c0a8f94b5</v>
    <v>en-GB</v>
    <v>Map</v>
  </rv>
  <rv s="1">
    <fb>1505161</fb>
    <v>10</v>
  </rv>
  <rv s="2">
    <v>1</v>
    <v>8</v>
    <v>11</v>
    <v>7</v>
    <v>0</v>
    <v>Image of Antioquia Department</v>
  </rv>
  <rv s="0">
    <v>805306368</v>
    <v>Aníbal Gaviria (Governor)</v>
    <v>5a82d4c1-4e64-20b1-6477-27a77999dfc7</v>
    <v>en-GB</v>
    <v>Generic</v>
  </rv>
  <rv s="3">
    <v>2</v>
  </rv>
  <rv s="4">
    <v>https://www.bing.com/search?q=antioquia+department&amp;form=skydnc</v>
    <v>Learn more on Bing</v>
  </rv>
  <rv s="1">
    <fb>6677930</fb>
    <v>10</v>
  </rv>
  <rv s="5">
    <v>#VALUE!</v>
    <v>en-GB</v>
    <v>d3614470-a93c-5d64-a636-9da2dff33c3d</v>
    <v>536870912</v>
    <v>1</v>
    <v>13</v>
    <v>4</v>
    <v>Antioquia Department</v>
    <v>6</v>
    <v>7</v>
    <v>Map</v>
    <v>8</v>
    <v>9</v>
    <v>CO-ANT</v>
    <v>13</v>
    <v>14</v>
    <v>3</v>
    <v>Antioquia is one of the 32 departments of Colombia, located in the central Northwestern part of Colombia with a narrow section that borders the Caribbean Sea. Most of its territory is mountainous with some valleys, much of which is part of the ...</v>
    <v>15</v>
    <v>16</v>
    <v>14</v>
    <v>18</v>
    <v>19</v>
    <v>Antioquia Department</v>
    <v>9</v>
    <v>20</v>
    <v>Antioquia Department</v>
    <v>mdp/vdpid/10106933</v>
  </rv>
  <rv s="0">
    <v>536870912</v>
    <v>Arauca Department</v>
    <v>39038b52-0399-9385-24de-5d0c69b46eba</v>
    <v>en-GB</v>
    <v>Map</v>
  </rv>
  <rv s="1">
    <fb>23818</fb>
    <v>10</v>
  </rv>
  <rv s="0">
    <v>536870912</v>
    <v>Arauca</v>
    <v>64f5d309-32e5-4ff7-24bc-d973ce26e70a</v>
    <v>en-GB</v>
    <v>Map</v>
  </rv>
  <rv s="1">
    <fb>35636</fb>
    <v>10</v>
  </rv>
  <rv s="2">
    <v>2</v>
    <v>8</v>
    <v>14</v>
    <v>7</v>
    <v>0</v>
    <v>Image of Arauca Department</v>
  </rv>
  <rv s="0">
    <v>805306368</v>
    <v>Ricardo Alvarado Bestene (Governor)</v>
    <v>82d20533-adb2-d974-1d25-70adfdccabaf</v>
    <v>en-GB</v>
    <v>Generic</v>
  </rv>
  <rv s="3">
    <v>3</v>
  </rv>
  <rv s="4">
    <v>https://www.bing.com/search?q=arauca+department+colombia&amp;form=skydnc</v>
    <v>Learn more on Bing</v>
  </rv>
  <rv s="1">
    <fb>294206</fb>
    <v>10</v>
  </rv>
  <rv s="5">
    <v>#VALUE!</v>
    <v>en-GB</v>
    <v>39038b52-0399-9385-24de-5d0c69b46eba</v>
    <v>536870912</v>
    <v>1</v>
    <v>16</v>
    <v>4</v>
    <v>Arauca Department</v>
    <v>6</v>
    <v>7</v>
    <v>Map</v>
    <v>8</v>
    <v>9</v>
    <v>CO-ARA</v>
    <v>23</v>
    <v>24</v>
    <v>3</v>
    <v>Arauca is a department of Eastern Colombia located in the extreme north of the Orinoco Basin of Colombia, bordering Venezuela. The southern boundary of Arauca is formed by the Casanare and Meta Rivers, separating Arauca from the departments of ...</v>
    <v>25</v>
    <v>26</v>
    <v>24</v>
    <v>28</v>
    <v>29</v>
    <v>Arauca Department</v>
    <v>9</v>
    <v>30</v>
    <v>Arauca Department</v>
    <v>mdp/vdpid/10106929</v>
  </rv>
  <rv s="0">
    <v>536870912</v>
    <v>Atlántico Department</v>
    <v>060406d2-f65b-ee44-bba7-291bad263612</v>
    <v>en-GB</v>
    <v>Map</v>
  </rv>
  <rv s="1">
    <fb>3388</fb>
    <v>10</v>
  </rv>
  <rv s="0">
    <v>536870912</v>
    <v>Barranquilla</v>
    <v>42cd2e95-8c26-b0ae-3c59-2f0254dc0b33</v>
    <v>en-GB</v>
    <v>Map</v>
  </rv>
  <rv s="1">
    <fb>436926</fb>
    <v>10</v>
  </rv>
  <rv s="2">
    <v>3</v>
    <v>8</v>
    <v>17</v>
    <v>7</v>
    <v>0</v>
    <v>Image of Atlántico Department</v>
  </rv>
  <rv s="0">
    <v>805306368</v>
    <v>Elsa Noguera (Governor)</v>
    <v>7a3178d9-0031-a364-409a-c1704e39d7b5</v>
    <v>en-GB</v>
    <v>Generic</v>
  </rv>
  <rv s="3">
    <v>4</v>
  </rv>
  <rv s="4">
    <v>https://www.bing.com/search?q=atl%c3%a1ntico+department+colombia&amp;form=skydnc</v>
    <v>Learn more on Bing</v>
  </rv>
  <rv s="1">
    <fb>2722128</fb>
    <v>10</v>
  </rv>
  <rv s="6">
    <v>#VALUE!</v>
    <v>en-GB</v>
    <v>060406d2-f65b-ee44-bba7-291bad263612</v>
    <v>536870912</v>
    <v>1</v>
    <v>19</v>
    <v>20</v>
    <v>Atlántico Department</v>
    <v>6</v>
    <v>7</v>
    <v>Map</v>
    <v>8</v>
    <v>9</v>
    <v>CO-ATL</v>
    <v>33</v>
    <v>34</v>
    <v>3</v>
    <v>Atlántico is a department of Colombia, located in northern Colombia with the Caribbean Sea to its north, the Bolívar Department to its west and south separated by the Canal del Dique, and the Magdalena Department to its east separated by the ...</v>
    <v>35</v>
    <v>36</v>
    <v>34</v>
    <v>38</v>
    <v>39</v>
    <v>Atlántico Department</v>
    <v>40</v>
    <v>Atlántico Department</v>
    <v>mdp/vdpid/9422286</v>
  </rv>
  <rv s="0">
    <v>536870912</v>
    <v>Bolívar Department</v>
    <v>38fa99f2-3e47-af72-2f25-81f620fe1128</v>
    <v>en-GB</v>
    <v>Map</v>
  </rv>
  <rv s="1">
    <fb>25978</fb>
    <v>10</v>
  </rv>
  <rv s="0">
    <v>536870912</v>
    <v>Cartagena de Indias</v>
    <v>722cd66d-65f4-7a40-33a0-17719bf6238a</v>
    <v>en-GB</v>
    <v>Map</v>
  </rv>
  <rv s="1">
    <fb>391055</fb>
    <v>10</v>
  </rv>
  <rv s="2">
    <v>4</v>
    <v>8</v>
    <v>21</v>
    <v>7</v>
    <v>0</v>
    <v>Image of Bolívar Department</v>
  </rv>
  <rv s="0">
    <v>805306368</v>
    <v>Vicente blel (Governor)</v>
    <v>3c3279f7-6f56-d14b-fe8b-44ecfbdc04fe</v>
    <v>en-GB</v>
    <v>Generic</v>
  </rv>
  <rv s="3">
    <v>5</v>
  </rv>
  <rv s="4">
    <v>https://www.bing.com/search?q=bol%c3%advar+department+colombia&amp;form=skydnc</v>
    <v>Learn more on Bing</v>
  </rv>
  <rv s="1">
    <fb>2180976</fb>
    <v>10</v>
  </rv>
  <rv s="6">
    <v>#VALUE!</v>
    <v>en-GB</v>
    <v>38fa99f2-3e47-af72-2f25-81f620fe1128</v>
    <v>536870912</v>
    <v>1</v>
    <v>23</v>
    <v>20</v>
    <v>Bolívar Department</v>
    <v>6</v>
    <v>7</v>
    <v>Map</v>
    <v>8</v>
    <v>9</v>
    <v>CO-BOL</v>
    <v>43</v>
    <v>44</v>
    <v>3</v>
    <v>Bolívar is a department of Colombia. It was named after one of the original nine states of the United States of Colombia. It is located to the north of the country, extending roughly north–south from the Caribbean coast at Cartagena near the ...</v>
    <v>45</v>
    <v>46</v>
    <v>44</v>
    <v>48</v>
    <v>49</v>
    <v>Bolívar Department</v>
    <v>50</v>
    <v>Bolívar Department</v>
    <v>mdp/vdpid/9421486</v>
  </rv>
  <rv s="0">
    <v>536870912</v>
    <v>Boyacá Department</v>
    <v>951b3076-f33d-486b-9b35-d6d83aad8b98</v>
    <v>en-GB</v>
    <v>Map</v>
  </rv>
  <rv s="1">
    <fb>23189</fb>
    <v>10</v>
  </rv>
  <rv s="0">
    <v>536870912</v>
    <v>Tunja</v>
    <v>27d685ee-2724-70fe-3ed2-724fbc283d31</v>
    <v>en-GB</v>
    <v>Map</v>
  </rv>
  <rv s="1">
    <fb>336296</fb>
    <v>10</v>
  </rv>
  <rv s="2">
    <v>5</v>
    <v>8</v>
    <v>24</v>
    <v>7</v>
    <v>0</v>
    <v>Image of Boyacá Department</v>
  </rv>
  <rv s="0">
    <v>805306368</v>
    <v>Carlos Andrés Amaya (Governor)</v>
    <v>d5b8b5d2-15c0-ce0d-f0a7-0f39182395e6</v>
    <v>en-GB</v>
    <v>Generic</v>
  </rv>
  <rv s="3">
    <v>6</v>
  </rv>
  <rv s="4">
    <v>https://www.bing.com/search?q=boyac%c3%a1+department&amp;form=skydnc</v>
    <v>Learn more on Bing</v>
  </rv>
  <rv s="1">
    <fb>1242731</fb>
    <v>10</v>
  </rv>
  <rv s="6">
    <v>#VALUE!</v>
    <v>en-GB</v>
    <v>951b3076-f33d-486b-9b35-d6d83aad8b98</v>
    <v>536870912</v>
    <v>1</v>
    <v>26</v>
    <v>20</v>
    <v>Boyacá Department</v>
    <v>6</v>
    <v>7</v>
    <v>Map</v>
    <v>8</v>
    <v>9</v>
    <v>CO-BOY</v>
    <v>53</v>
    <v>54</v>
    <v>3</v>
    <v>Boyacá is one of the thirty-two departments of Colombia, and the remnant of Boyacá State, one of the original nine states of the "United States of Colombia". Boyacá is centrally located within Colombia, almost entirely within the mountains of ...</v>
    <v>55</v>
    <v>56</v>
    <v>54</v>
    <v>58</v>
    <v>59</v>
    <v>Boyacá Department</v>
    <v>60</v>
    <v>Boyacá Department</v>
    <v>mdp/vdpid/10106930</v>
  </rv>
  <rv s="0">
    <v>536870912</v>
    <v>Caldas Department</v>
    <v>85871477-49bf-4c76-2b8d-3f2500f444d8</v>
    <v>en-GB</v>
    <v>Map</v>
  </rv>
  <rv s="1">
    <fb>7888</fb>
    <v>10</v>
  </rv>
  <rv s="0">
    <v>536870912</v>
    <v>Manizales</v>
    <v>bd9d0749-454d-d6e3-1695-5fdb48ea0d4f</v>
    <v>en-GB</v>
    <v>Map</v>
  </rv>
  <rv s="1">
    <fb>256532</fb>
    <v>10</v>
  </rv>
  <rv s="2">
    <v>6</v>
    <v>8</v>
    <v>27</v>
    <v>7</v>
    <v>0</v>
    <v>Image of Caldas Department</v>
  </rv>
  <rv s="0">
    <v>805306368</v>
    <v>Luis Carlos Velásquez Cardona (Governor)</v>
    <v>4365140a-3c94-5033-c957-f121648e783a</v>
    <v>en-GB</v>
    <v>Generic</v>
  </rv>
  <rv s="3">
    <v>7</v>
  </rv>
  <rv s="4">
    <v>https://www.bing.com/search?q=caldas+department+colombia&amp;form=skydnc</v>
    <v>Learn more on Bing</v>
  </rv>
  <rv s="1">
    <fb>1018453</fb>
    <v>10</v>
  </rv>
  <rv s="6">
    <v>#VALUE!</v>
    <v>en-GB</v>
    <v>85871477-49bf-4c76-2b8d-3f2500f444d8</v>
    <v>536870912</v>
    <v>1</v>
    <v>29</v>
    <v>20</v>
    <v>Caldas Department</v>
    <v>6</v>
    <v>7</v>
    <v>Map</v>
    <v>8</v>
    <v>9</v>
    <v>CO-CAL</v>
    <v>63</v>
    <v>64</v>
    <v>3</v>
    <v>Caldas is a department of Colombia named after Colombian patriotic figure Francisco José de Caldas. It is part of the Paisa Region and its capital is Manizales. The population of Caldas is 998,255, and its area is 7,291 km². Caldas is also part ...</v>
    <v>65</v>
    <v>66</v>
    <v>64</v>
    <v>68</v>
    <v>69</v>
    <v>Caldas Department</v>
    <v>70</v>
    <v>Caldas Department</v>
    <v>mdp/vdpid/5575</v>
  </rv>
  <rv s="0">
    <v>536870912</v>
    <v>Caquetá Department</v>
    <v>52c6ce36-10f4-7316-b10a-41d0eb67ac75</v>
    <v>en-GB</v>
    <v>Map</v>
  </rv>
  <rv s="1">
    <fb>88965</fb>
    <v>10</v>
  </rv>
  <rv s="0">
    <v>536870912</v>
    <v>Florencia</v>
    <v>cd593b92-5ec9-6358-d982-76274f18d53c</v>
    <v>en-GB</v>
    <v>Map</v>
  </rv>
  <rv s="1">
    <fb>80076</fb>
    <v>10</v>
  </rv>
  <rv s="2">
    <v>7</v>
    <v>8</v>
    <v>30</v>
    <v>7</v>
    <v>0</v>
    <v>Image of Caquetá Department</v>
  </rv>
  <rv s="0">
    <v>805306368</v>
    <v>Alvaro Pacheco Alvarez (Governor)</v>
    <v>5f36e4f3-77a4-a33a-c270-1c5d4cd374d9</v>
    <v>en-GB</v>
    <v>Generic</v>
  </rv>
  <rv s="3">
    <v>8</v>
  </rv>
  <rv s="4">
    <v>https://www.bing.com/search?q=caquet%c3%a1+department+colombia&amp;form=skydnc</v>
    <v>Learn more on Bing</v>
  </rv>
  <rv s="1">
    <fb>410521</fb>
    <v>10</v>
  </rv>
  <rv s="6">
    <v>#VALUE!</v>
    <v>en-GB</v>
    <v>52c6ce36-10f4-7316-b10a-41d0eb67ac75</v>
    <v>536870912</v>
    <v>1</v>
    <v>32</v>
    <v>20</v>
    <v>Caquetá Department</v>
    <v>6</v>
    <v>7</v>
    <v>Map</v>
    <v>8</v>
    <v>9</v>
    <v>CO-CAQ</v>
    <v>73</v>
    <v>74</v>
    <v>3</v>
    <v>Caquetá Department is a department of Colombia. Located in the Amazonas region, Caquetá borders with the departments of Cauca and Huila to the west, the department of Meta to the north, the department of Guaviare to the northeast, the department ...</v>
    <v>75</v>
    <v>76</v>
    <v>74</v>
    <v>78</v>
    <v>79</v>
    <v>Caquetá Department</v>
    <v>80</v>
    <v>Caquetá Department</v>
    <v>mdp/vdpid/10106918</v>
  </rv>
  <rv s="0">
    <v>536870912</v>
    <v>Casanare Department</v>
    <v>e7b3ed4f-03e8-7516-f976-b525e8a0b565</v>
    <v>en-GB</v>
    <v>Map</v>
  </rv>
  <rv s="1">
    <fb>44995</fb>
    <v>10</v>
  </rv>
  <rv s="0">
    <v>536870912</v>
    <v>Yopal</v>
    <v>b5d1013d-669c-c464-2466-3c8409cb17e0</v>
    <v>en-GB</v>
    <v>Map</v>
  </rv>
  <rv s="1">
    <fb>73701</fb>
    <v>10</v>
  </rv>
  <rv s="2">
    <v>8</v>
    <v>8</v>
    <v>33</v>
    <v>7</v>
    <v>0</v>
    <v>Image of Casanare Department</v>
  </rv>
  <rv s="0">
    <v>805306368</v>
    <v>Salomon Andres Sanabria (Governor)</v>
    <v>f10f1555-74b4-e56b-4354-1a9e1954c6a6</v>
    <v>en-GB</v>
    <v>Generic</v>
  </rv>
  <rv s="3">
    <v>9</v>
  </rv>
  <rv s="4">
    <v>https://www.bing.com/search?q=casanare+department+colombia&amp;form=skydnc</v>
    <v>Learn more on Bing</v>
  </rv>
  <rv s="3">
    <v>10</v>
  </rv>
  <rv s="1">
    <fb>435195</fb>
    <v>10</v>
  </rv>
  <rv s="5">
    <v>#VALUE!</v>
    <v>en-GB</v>
    <v>e7b3ed4f-03e8-7516-f976-b525e8a0b565</v>
    <v>536870912</v>
    <v>1</v>
    <v>35</v>
    <v>4</v>
    <v>Casanare Department</v>
    <v>6</v>
    <v>7</v>
    <v>Map</v>
    <v>8</v>
    <v>9</v>
    <v>CO-CAS</v>
    <v>83</v>
    <v>84</v>
    <v>3</v>
    <v>Casanare Department is a department located in the central eastern of Colombia. It's famous for its oil and natural gas production as well as its livestock and extensive plains. It's also the tenth largest department with an area of 44,490 km², ...</v>
    <v>85</v>
    <v>86</v>
    <v>84</v>
    <v>88</v>
    <v>89</v>
    <v>Casanare Department</v>
    <v>90</v>
    <v>91</v>
    <v>Casanare Department</v>
    <v>mdp/vdpid/10106928</v>
  </rv>
  <rv s="0">
    <v>536870912</v>
    <v>Cauca Department</v>
    <v>7b3864e4-af68-447f-d9bc-075dd9085ef8</v>
    <v>en-GB</v>
    <v>Map</v>
  </rv>
  <rv s="1">
    <fb>29308</fb>
    <v>10</v>
  </rv>
  <rv s="0">
    <v>536870912</v>
    <v>Popayán</v>
    <v>00cf04a3-1af5-9cf7-1cb0-ff1a2de87d79</v>
    <v>en-GB</v>
    <v>Map</v>
  </rv>
  <rv s="1">
    <fb>294069</fb>
    <v>10</v>
  </rv>
  <rv s="2">
    <v>9</v>
    <v>8</v>
    <v>36</v>
    <v>7</v>
    <v>0</v>
    <v>Image of Cauca Department</v>
  </rv>
  <rv s="0">
    <v>805306368</v>
    <v>Óscar Rodrigo Campos Hurtado (Governor)</v>
    <v>89c9e43c-29c3-d01a-a4bf-fb20be0bd541</v>
    <v>en-GB</v>
    <v>Generic</v>
  </rv>
  <rv s="3">
    <v>11</v>
  </rv>
  <rv s="4">
    <v>https://www.bing.com/search?q=cauca+department+colombia&amp;form=skydnc</v>
    <v>Learn more on Bing</v>
  </rv>
  <rv s="1">
    <fb>1491937</fb>
    <v>10</v>
  </rv>
  <rv s="6">
    <v>#VALUE!</v>
    <v>en-GB</v>
    <v>7b3864e4-af68-447f-d9bc-075dd9085ef8</v>
    <v>536870912</v>
    <v>1</v>
    <v>38</v>
    <v>20</v>
    <v>Cauca Department</v>
    <v>6</v>
    <v>7</v>
    <v>Map</v>
    <v>8</v>
    <v>9</v>
    <v>CO-CAU</v>
    <v>94</v>
    <v>95</v>
    <v>3</v>
    <v>Cauca Department is a Department of Southwestern Colombia. Located in the southwestern part of the country, facing the Pacific Ocean to the west, the Valle del Cauca Department to the north, Tolima Department to the northeast, Huila Department ...</v>
    <v>96</v>
    <v>97</v>
    <v>95</v>
    <v>99</v>
    <v>100</v>
    <v>Cauca Department</v>
    <v>101</v>
    <v>Cauca Department</v>
    <v>mdp/vdpid/9419845</v>
  </rv>
  <rv s="0">
    <v>536870912</v>
    <v>Cesar Department</v>
    <v>acf0353b-c9e7-bf27-fe4d-0e199bc80085</v>
    <v>en-GB</v>
    <v>Map</v>
  </rv>
  <rv s="1">
    <fb>22905</fb>
    <v>10</v>
  </rv>
  <rv s="0">
    <v>536870912</v>
    <v>Valledupar</v>
    <v>6fe413f4-0dd2-f600-611d-ac12bfd296ec</v>
    <v>en-GB</v>
    <v>Map</v>
  </rv>
  <rv s="1">
    <fb>204391</fb>
    <v>10</v>
  </rv>
  <rv s="2">
    <v>10</v>
    <v>8</v>
    <v>39</v>
    <v>7</v>
    <v>0</v>
    <v>Image of Cesar Department</v>
  </rv>
  <rv s="0">
    <v>805306368</v>
    <v>Francis Ferdinand Ovalle Angarita (Governor)</v>
    <v>cf31b593-5571-2a67-418c-c3142ca414c8</v>
    <v>en-GB</v>
    <v>Generic</v>
  </rv>
  <rv s="3">
    <v>12</v>
  </rv>
  <rv s="4">
    <v>https://www.bing.com/search?q=cesar+department+colombia&amp;form=skydnc</v>
    <v>Learn more on Bing</v>
  </rv>
  <rv s="1">
    <fb>1295387</fb>
    <v>10</v>
  </rv>
  <rv s="6">
    <v>#VALUE!</v>
    <v>en-GB</v>
    <v>acf0353b-c9e7-bf27-fe4d-0e199bc80085</v>
    <v>536870912</v>
    <v>1</v>
    <v>41</v>
    <v>20</v>
    <v>Cesar Department</v>
    <v>6</v>
    <v>7</v>
    <v>Map</v>
    <v>8</v>
    <v>9</v>
    <v>CO-CES</v>
    <v>104</v>
    <v>105</v>
    <v>3</v>
    <v>Caesar Department or simply Caesar is a department of Colombia located in the north of the country in the Caribbean region, bordering to the north with the Department of La Guajira, to the west with the Department of Magdalene and Department of ...</v>
    <v>106</v>
    <v>107</v>
    <v>105</v>
    <v>109</v>
    <v>110</v>
    <v>Cesar Department</v>
    <v>111</v>
    <v>Cesar Department</v>
    <v>mdp/vdpid/10106947</v>
  </rv>
  <rv s="0">
    <v>536870912</v>
    <v>Chocó Department</v>
    <v>a03f5bb0-fdf4-7ba6-1aa2-98634d5ec680</v>
    <v>en-GB</v>
    <v>Map</v>
  </rv>
  <rv s="1">
    <fb>46530</fb>
    <v>10</v>
  </rv>
  <rv s="0">
    <v>536870912</v>
    <v>Quibdó</v>
    <v>7800a32f-f875-4138-2f4b-2bacf3f15e52</v>
    <v>en-GB</v>
    <v>Map</v>
  </rv>
  <rv s="1">
    <fb>97424</fb>
    <v>10</v>
  </rv>
  <rv s="2">
    <v>11</v>
    <v>8</v>
    <v>42</v>
    <v>7</v>
    <v>0</v>
    <v>Image of Chocó Department</v>
  </rv>
  <rv s="0">
    <v>805306368</v>
    <v>Ariel Palacios Calderón (Governor)</v>
    <v>86007fc5-2977-f9c5-dfd3-dd4689a26d1e</v>
    <v>en-GB</v>
    <v>Generic</v>
  </rv>
  <rv s="3">
    <v>13</v>
  </rv>
  <rv s="4">
    <v>https://www.bing.com/search?q=choc%c3%b3+department&amp;form=skydnc</v>
    <v>Learn more on Bing</v>
  </rv>
  <rv s="1">
    <fb>544767</fb>
    <v>10</v>
  </rv>
  <rv s="6">
    <v>#VALUE!</v>
    <v>en-GB</v>
    <v>a03f5bb0-fdf4-7ba6-1aa2-98634d5ec680</v>
    <v>536870912</v>
    <v>1</v>
    <v>44</v>
    <v>20</v>
    <v>Chocó Department</v>
    <v>6</v>
    <v>7</v>
    <v>Map</v>
    <v>8</v>
    <v>45</v>
    <v>CO-CHO</v>
    <v>114</v>
    <v>115</v>
    <v>3</v>
    <v>Chocó Department is a department of Western Colombia known for its large Afro-Colombian population. It is in the west of the country, and is the only Colombian department to have coastlines on both the Pacific Ocean and the Atlantic Ocean. It ...</v>
    <v>116</v>
    <v>117</v>
    <v>115</v>
    <v>119</v>
    <v>120</v>
    <v>Chocó Department</v>
    <v>121</v>
    <v>Chocó Department</v>
    <v>mdp/vdpid/10106932</v>
  </rv>
  <rv s="0">
    <v>536870912</v>
    <v>Córdoba Department</v>
    <v>351fe87f-ca62-b128-b52c-3edd6fa6b80f</v>
    <v>en-GB</v>
    <v>Map</v>
  </rv>
  <rv s="1">
    <fb>25020</fb>
    <v>10</v>
  </rv>
  <rv s="0">
    <v>536870912</v>
    <v>Montería</v>
    <v>93a2a83d-0f56-b138-74ba-8c68692fbc74</v>
    <v>en-GB</v>
    <v>Map</v>
  </rv>
  <rv s="1">
    <fb>315928</fb>
    <v>10</v>
  </rv>
  <rv s="2">
    <v>12</v>
    <v>8</v>
    <v>46</v>
    <v>7</v>
    <v>0</v>
    <v>Image of Córdoba Department</v>
  </rv>
  <rv s="0">
    <v>805306368</v>
    <v>Orlando Benítez (Governor)</v>
    <v>c6c77b6f-0061-4ef2-a001-13851fcd7c3a</v>
    <v>en-GB</v>
    <v>Generic</v>
  </rv>
  <rv s="3">
    <v>14</v>
  </rv>
  <rv s="4">
    <v>https://www.bing.com/search?q=c%c3%b3rdoba+department+colombia&amp;form=skydnc</v>
    <v>Learn more on Bing</v>
  </rv>
  <rv s="1">
    <fb>1828947</fb>
    <v>10</v>
  </rv>
  <rv s="6">
    <v>#VALUE!</v>
    <v>en-GB</v>
    <v>351fe87f-ca62-b128-b52c-3edd6fa6b80f</v>
    <v>536870912</v>
    <v>1</v>
    <v>48</v>
    <v>20</v>
    <v>Córdoba Department</v>
    <v>6</v>
    <v>7</v>
    <v>Map</v>
    <v>8</v>
    <v>9</v>
    <v>CO-COR</v>
    <v>124</v>
    <v>125</v>
    <v>3</v>
    <v>Córdoba Department is a Department of the Republic of Colombia located to the north of this country in the Colombian Caribbean Region. Córdoba faces to the north with the Caribbean Sea, to the northeast with the Sucre Department, east with the ...</v>
    <v>126</v>
    <v>127</v>
    <v>125</v>
    <v>129</v>
    <v>130</v>
    <v>Córdoba Department</v>
    <v>131</v>
    <v>Córdoba Department</v>
    <v>mdp/vdpid/9418692</v>
  </rv>
  <rv s="0">
    <v>536870912</v>
    <v>Cundinamarca Department</v>
    <v>26fc374f-923b-d32c-4651-e3e8c06fc3ed</v>
    <v>en-GB</v>
    <v>Map</v>
  </rv>
  <rv s="1">
    <fb>22623</fb>
    <v>10</v>
  </rv>
  <rv s="0">
    <v>536870912</v>
    <v>Bogotá</v>
    <v>66b24d5c-468c-2dd6-e6ce-34504b6f6cb4</v>
    <v>en-GB</v>
    <v>Map</v>
  </rv>
  <rv s="1">
    <fb>596082</fb>
    <v>10</v>
  </rv>
  <rv s="2">
    <v>13</v>
    <v>8</v>
    <v>49</v>
    <v>7</v>
    <v>0</v>
    <v>Image of Cundinamarca Department</v>
  </rv>
  <rv s="0">
    <v>805306368</v>
    <v>Nicolás García Bustos (Governor)</v>
    <v>5f8a27f5-c809-2e24-80ec-322706d7b021</v>
    <v>en-GB</v>
    <v>Generic</v>
  </rv>
  <rv s="3">
    <v>15</v>
  </rv>
  <rv s="4">
    <v>https://www.bing.com/search?q=cundinamarca&amp;form=skydnc</v>
    <v>Learn more on Bing</v>
  </rv>
  <rv s="1">
    <fb>3242999</fb>
    <v>10</v>
  </rv>
  <rv s="6">
    <v>#VALUE!</v>
    <v>en-GB</v>
    <v>26fc374f-923b-d32c-4651-e3e8c06fc3ed</v>
    <v>536870912</v>
    <v>1</v>
    <v>51</v>
    <v>20</v>
    <v>Cundinamarca Department</v>
    <v>6</v>
    <v>7</v>
    <v>Map</v>
    <v>8</v>
    <v>9</v>
    <v>CO-CUN</v>
    <v>134</v>
    <v>135</v>
    <v>3</v>
    <v>Department of Cundinamarca is one of the departments of Colombia. Its area covers 22,623 square kilometres and it has a population of 2,919,060 as of 2018. It was created on August 5, 1886, under the constitutional terms presented on the same ...</v>
    <v>136</v>
    <v>137</v>
    <v>135</v>
    <v>139</v>
    <v>140</v>
    <v>Cundinamarca Department</v>
    <v>141</v>
    <v>Cundinamarca Department</v>
    <v>mdp/vdpid/10106925</v>
  </rv>
  <rv s="0">
    <v>536870912</v>
    <v>Guainía Department</v>
    <v>8651c982-77dc-b5af-4197-627d13648685</v>
    <v>en-GB</v>
    <v>Map</v>
  </rv>
  <rv s="1">
    <fb>72238</fb>
    <v>10</v>
  </rv>
  <rv s="0">
    <v>536870912</v>
    <v>Inírida</v>
    <v>ae3aba96-df05-18f2-a85d-4eeb8754f289</v>
    <v>en-GB</v>
    <v>Map</v>
  </rv>
  <rv s="1">
    <fb>5123</fb>
    <v>10</v>
  </rv>
  <rv s="2">
    <v>14</v>
    <v>8</v>
    <v>52</v>
    <v>7</v>
    <v>0</v>
    <v>Image of Guainía Department</v>
  </rv>
  <rv s="0">
    <v>805306368</v>
    <v>Javier Eliecer Zapata Parrado (Governor)</v>
    <v>65faeac9-a9f3-6fd5-928d-f96b7345b4db</v>
    <v>en-GB</v>
    <v>Generic</v>
  </rv>
  <rv s="3">
    <v>16</v>
  </rv>
  <rv s="4">
    <v>https://www.bing.com/search?q=guain%c3%ada+department+colombia&amp;form=skydnc</v>
    <v>Learn more on Bing</v>
  </rv>
  <rv s="1">
    <fb>50636</fb>
    <v>10</v>
  </rv>
  <rv s="6">
    <v>#VALUE!</v>
    <v>en-GB</v>
    <v>8651c982-77dc-b5af-4197-627d13648685</v>
    <v>536870912</v>
    <v>1</v>
    <v>54</v>
    <v>20</v>
    <v>Guainía Department</v>
    <v>6</v>
    <v>7</v>
    <v>Map</v>
    <v>8</v>
    <v>9</v>
    <v>CO-GUA</v>
    <v>144</v>
    <v>145</v>
    <v>3</v>
    <v>Guainía is a department of Eastern Colombia. It is in the east of the country, bordering Venezuela and Brazil. Its capital is Inírida. In 1963 Guainía was split off from Vaupés department. The northern part and the Inírida River are included in ...</v>
    <v>146</v>
    <v>147</v>
    <v>145</v>
    <v>149</v>
    <v>150</v>
    <v>Guainía Department</v>
    <v>151</v>
    <v>Guainía Department</v>
    <v>mdp/vdpid/10106921</v>
  </rv>
  <rv s="0">
    <v>536870912</v>
    <v>Guaviare Department</v>
    <v>fe72a3d7-3b52-1552-6e5d-28dca99e051b</v>
    <v>en-GB</v>
    <v>Map</v>
  </rv>
  <rv s="1">
    <fb>53460</fb>
    <v>10</v>
  </rv>
  <rv s="0">
    <v>536870912</v>
    <v>San José del Guaviare</v>
    <v>b50bf78b-7c50-9058-839d-9d37ecb96ffb</v>
    <v>en-GB</v>
    <v>Map</v>
  </rv>
  <rv s="1">
    <fb>13640</fb>
    <v>10</v>
  </rv>
  <rv s="2">
    <v>15</v>
    <v>8</v>
    <v>55</v>
    <v>7</v>
    <v>0</v>
    <v>Image of Guaviare Department</v>
  </rv>
  <rv s="0">
    <v>805306368</v>
    <v>Nebio De Jesus Echeverry Cadavid (Governor)</v>
    <v>37f4e324-a072-388e-d123-f429bf1b44ce</v>
    <v>en-GB</v>
    <v>Generic</v>
  </rv>
  <rv s="3">
    <v>17</v>
  </rv>
  <rv s="4">
    <v>https://www.bing.com/search?q=guaviare+department+colombia&amp;form=skydnc</v>
    <v>Learn more on Bing</v>
  </rv>
  <rv s="1">
    <fb>73081</fb>
    <v>10</v>
  </rv>
  <rv s="6">
    <v>#VALUE!</v>
    <v>en-GB</v>
    <v>fe72a3d7-3b52-1552-6e5d-28dca99e051b</v>
    <v>536870912</v>
    <v>1</v>
    <v>57</v>
    <v>20</v>
    <v>Guaviare Department</v>
    <v>6</v>
    <v>7</v>
    <v>Map</v>
    <v>8</v>
    <v>58</v>
    <v>CO-GUV</v>
    <v>154</v>
    <v>155</v>
    <v>3</v>
    <v>Guaviare is a department of Colombia. It is in the southern central region of the country. Its capital is San José del Guaviare. Guaviare was created on July 4, 1991, by the new Political Constitution of Colombia. Up until that point, it was a ...</v>
    <v>156</v>
    <v>157</v>
    <v>155</v>
    <v>159</v>
    <v>160</v>
    <v>Guaviare Department</v>
    <v>161</v>
    <v>Guaviare Department</v>
    <v>mdp/vdpid/10106919</v>
  </rv>
  <rv s="0">
    <v>536870912</v>
    <v>Huila Department</v>
    <v>2752ef70-1772-e264-2348-e4146224c108</v>
    <v>en-GB</v>
    <v>Map</v>
  </rv>
  <rv s="1">
    <fb>19890</fb>
    <v>10</v>
  </rv>
  <rv s="0">
    <v>536870912</v>
    <v>Neiva</v>
    <v>1ba988f0-6907-b536-88ad-b89bb1269fc5</v>
    <v>en-GB</v>
    <v>Map</v>
  </rv>
  <rv s="1">
    <fb>253348</fb>
    <v>10</v>
  </rv>
  <rv s="2">
    <v>16</v>
    <v>8</v>
    <v>59</v>
    <v>7</v>
    <v>0</v>
    <v>Image of Huila Department</v>
  </rv>
  <rv s="0">
    <v>805306368</v>
    <v>Luis Enrique Dussán López (Governor)</v>
    <v>6ab61e86-1428-98e1-062e-5bf1068edd89</v>
    <v>en-GB</v>
    <v>Generic</v>
  </rv>
  <rv s="3">
    <v>18</v>
  </rv>
  <rv s="4">
    <v>https://www.bing.com/search?q=huila+department+colombia&amp;form=skydnc</v>
    <v>Learn more on Bing</v>
  </rv>
  <rv s="1">
    <fb>1122622</fb>
    <v>10</v>
  </rv>
  <rv s="6">
    <v>#VALUE!</v>
    <v>en-GB</v>
    <v>2752ef70-1772-e264-2348-e4146224c108</v>
    <v>536870912</v>
    <v>1</v>
    <v>61</v>
    <v>20</v>
    <v>Huila Department</v>
    <v>6</v>
    <v>7</v>
    <v>Map</v>
    <v>8</v>
    <v>9</v>
    <v>CO-HUI</v>
    <v>164</v>
    <v>165</v>
    <v>3</v>
    <v>Huila is one of the departments of Colombia. It is located in the southwest of the country, and its capital is Neiva.</v>
    <v>166</v>
    <v>167</v>
    <v>165</v>
    <v>169</v>
    <v>170</v>
    <v>Huila Department</v>
    <v>171</v>
    <v>Huila Department</v>
    <v>mdp/vdpid/10106920</v>
  </rv>
  <rv s="0">
    <v>536870912</v>
    <v>La Guajira Department</v>
    <v>5dadb66e-c4f1-8556-c08f-671a606edf84</v>
    <v>en-GB</v>
    <v>Map</v>
  </rv>
  <rv s="1">
    <fb>20848</fb>
    <v>10</v>
  </rv>
  <rv s="0">
    <v>536870912</v>
    <v>Riohacha</v>
    <v>f49d0eea-63a6-74bd-7610-26e440494dda</v>
    <v>en-GB</v>
    <v>Map</v>
  </rv>
  <rv s="1">
    <fb>123078</fb>
    <v>10</v>
  </rv>
  <rv s="2">
    <v>17</v>
    <v>8</v>
    <v>62</v>
    <v>7</v>
    <v>0</v>
    <v>Image of La Guajira Department</v>
  </rv>
  <rv s="0">
    <v>536870912</v>
    <v>Uribia</v>
    <v>079ebe16-eeaa-f321-420d-7a8c4b2a599d</v>
    <v>en-GB</v>
    <v>Map</v>
  </rv>
  <rv s="0">
    <v>805306368</v>
    <v>Oneida Rayeth Pinto Perez (Governor)</v>
    <v>b3069840-97b1-27ad-51a2-1e1d7e743f92</v>
    <v>en-GB</v>
    <v>Generic</v>
  </rv>
  <rv s="3">
    <v>19</v>
  </rv>
  <rv s="4">
    <v>https://www.bing.com/search?q=la+guajira+department+colombia&amp;form=skydnc</v>
    <v>Learn more on Bing</v>
  </rv>
  <rv s="1">
    <fb>965718</fb>
    <v>10</v>
  </rv>
  <rv s="6">
    <v>#VALUE!</v>
    <v>en-GB</v>
    <v>5dadb66e-c4f1-8556-c08f-671a606edf84</v>
    <v>536870912</v>
    <v>1</v>
    <v>64</v>
    <v>20</v>
    <v>La Guajira Department</v>
    <v>6</v>
    <v>7</v>
    <v>Map</v>
    <v>8</v>
    <v>9</v>
    <v>CO-LAG</v>
    <v>174</v>
    <v>175</v>
    <v>3</v>
    <v>La Guajira is a department of Colombia. It occupies most of the Guajira Peninsula in the northeast region of the country, on the Caribbean Sea and bordering Venezuela, at the northernmost tip of South America. The capital city of the department ...</v>
    <v>176</v>
    <v>177</v>
    <v>178</v>
    <v>180</v>
    <v>181</v>
    <v>La Guajira Department</v>
    <v>182</v>
    <v>La Guajira Department</v>
    <v>mdp/vdpid/10106951</v>
  </rv>
  <rv s="0">
    <v>536870912</v>
    <v>Magdalena Department</v>
    <v>dcdd93f1-b99c-7653-25fe-53654ad52fa2</v>
    <v>en-GB</v>
    <v>Map</v>
  </rv>
  <rv s="1">
    <fb>23188</fb>
    <v>10</v>
  </rv>
  <rv s="0">
    <v>536870912</v>
    <v>Santa Marta</v>
    <v>d09d4730-feb7-30ca-9a61-7c9689075b16</v>
    <v>en-GB</v>
    <v>Map</v>
  </rv>
  <rv s="1">
    <fb>244942</fb>
    <v>10</v>
  </rv>
  <rv s="2">
    <v>18</v>
    <v>8</v>
    <v>65</v>
    <v>7</v>
    <v>0</v>
    <v>Image of Magdalena Department</v>
  </rv>
  <rv s="0">
    <v>805306368</v>
    <v>Carlos Caicedo (Governor)</v>
    <v>12654318-923b-710b-f1ea-81a955f43f66</v>
    <v>en-GB</v>
    <v>Generic</v>
  </rv>
  <rv s="3">
    <v>20</v>
  </rv>
  <rv s="4">
    <v>https://www.bing.com/search?q=magdalena+department+colombia&amp;form=skydnc</v>
    <v>Learn more on Bing</v>
  </rv>
  <rv s="1">
    <fb>1427026</fb>
    <v>10</v>
  </rv>
  <rv s="6">
    <v>#VALUE!</v>
    <v>en-GB</v>
    <v>dcdd93f1-b99c-7653-25fe-53654ad52fa2</v>
    <v>536870912</v>
    <v>1</v>
    <v>67</v>
    <v>20</v>
    <v>Magdalena Department</v>
    <v>6</v>
    <v>7</v>
    <v>Map</v>
    <v>8</v>
    <v>9</v>
    <v>CO-MAG</v>
    <v>185</v>
    <v>186</v>
    <v>3</v>
    <v>Magdalena is a department of Colombia with more than 1.3 million people, located to the north of the country by the Caribbean Sea. The capital of the Magdalena Department is Santa Marta and was named after the Magdalena River. It inherited the ...</v>
    <v>187</v>
    <v>188</v>
    <v>186</v>
    <v>190</v>
    <v>191</v>
    <v>Magdalena Department</v>
    <v>192</v>
    <v>Magdalena Department</v>
    <v>mdp/vdpid/9408415</v>
  </rv>
  <rv s="0">
    <v>536870912</v>
    <v>Meta Department</v>
    <v>30c3c263-a281-f2d2-6787-511d37d41ddf</v>
    <v>en-GB</v>
    <v>Map</v>
  </rv>
  <rv s="1">
    <fb>85635</fb>
    <v>10</v>
  </rv>
  <rv s="0">
    <v>536870912</v>
    <v>Villavicencio</v>
    <v>061f744c-689b-fc4e-336d-58ff74f02bb7</v>
    <v>en-GB</v>
    <v>Map</v>
  </rv>
  <rv s="1">
    <fb>179624</fb>
    <v>10</v>
  </rv>
  <rv s="0">
    <v>805306368</v>
    <v>Marcela Amaya (Governor)</v>
    <v>b222e51a-aa91-5947-0e4e-5765ea734daa</v>
    <v>en-GB</v>
    <v>Generic</v>
  </rv>
  <rv s="3">
    <v>21</v>
  </rv>
  <rv s="4">
    <v>https://www.bing.com/search?q=meta+department+colombia&amp;form=skydnc</v>
    <v>Learn more on Bing</v>
  </rv>
  <rv s="1">
    <fb>1062454</fb>
    <v>10</v>
  </rv>
  <rv s="7">
    <v>#VALUE!</v>
    <v>en-GB</v>
    <v>30c3c263-a281-f2d2-6787-511d37d41ddf</v>
    <v>536870912</v>
    <v>1</v>
    <v>70</v>
    <v>71</v>
    <v>Meta Department</v>
    <v>6</v>
    <v>72</v>
    <v>Map</v>
    <v>8</v>
    <v>9</v>
    <v>CO-MET</v>
    <v>195</v>
    <v>196</v>
    <v>3</v>
    <v>Meta is a department of Colombia. It is close to the geographic center of the country, to the east of the Andean mountains. A large portion of the department, which is also crossed by the Meta River, is covered by a grassland plain known as the ...</v>
    <v>197</v>
    <v>196</v>
    <v>199</v>
    <v>200</v>
    <v>Meta Department</v>
    <v>201</v>
    <v>Meta Department</v>
    <v>mdp/vdpid/10106924</v>
  </rv>
  <rv s="0">
    <v>536870912</v>
    <v>Nariño Department</v>
    <v>1b9faaa5-ba49-9e9a-6edd-39ceed297f8f</v>
    <v>en-GB</v>
    <v>Map</v>
  </rv>
  <rv s="1">
    <fb>33268</fb>
    <v>10</v>
  </rv>
  <rv s="0">
    <v>536870912</v>
    <v>Pasto</v>
    <v>dc2554b9-27d5-309d-89c4-5936459ccb5e</v>
    <v>en-GB</v>
    <v>Map</v>
  </rv>
  <rv s="1">
    <fb>347101</fb>
    <v>10</v>
  </rv>
  <rv s="2">
    <v>19</v>
    <v>8</v>
    <v>73</v>
    <v>7</v>
    <v>0</v>
    <v>Image of Nariño Department</v>
  </rv>
  <rv s="0">
    <v>805306368</v>
    <v>John Rojas (Governor)</v>
    <v>e7091697-4e17-3878-1017-2655dde69555</v>
    <v>en-GB</v>
    <v>Generic</v>
  </rv>
  <rv s="3">
    <v>22</v>
  </rv>
  <rv s="4">
    <v>https://www.bing.com/search?q=nari%c3%b1o+department+colombia&amp;form=skydnc</v>
    <v>Learn more on Bing</v>
  </rv>
  <rv s="1">
    <fb>1630592</fb>
    <v>10</v>
  </rv>
  <rv s="6">
    <v>#VALUE!</v>
    <v>en-GB</v>
    <v>1b9faaa5-ba49-9e9a-6edd-39ceed297f8f</v>
    <v>536870912</v>
    <v>1</v>
    <v>75</v>
    <v>20</v>
    <v>Nariño Department</v>
    <v>6</v>
    <v>7</v>
    <v>Map</v>
    <v>8</v>
    <v>58</v>
    <v>CO-NAR</v>
    <v>204</v>
    <v>205</v>
    <v>3</v>
    <v>Nariño is a department of Colombia named after independence leader Antonio Nariño. Its capital is Pasto. It is in the west of the country, bordering Ecuador and the Pacific Ocean. Nariño has a diverse geography and varied climate according to ...</v>
    <v>206</v>
    <v>207</v>
    <v>205</v>
    <v>209</v>
    <v>210</v>
    <v>Nariño Department</v>
    <v>211</v>
    <v>Nariño Department</v>
    <v>mdp/vdpid/9406730</v>
  </rv>
  <rv s="0">
    <v>536870912</v>
    <v>Norte de Santander Department</v>
    <v>d44c8def-e6be-c3f1-ab4e-e27af99a2e0b</v>
    <v>en-GB</v>
    <v>Map</v>
  </rv>
  <rv s="1">
    <fb>21658</fb>
    <v>10</v>
  </rv>
  <rv s="0">
    <v>536870912</v>
    <v>Cúcuta</v>
    <v>5a90774d-aeea-6f03-17a8-2126ffdffef3</v>
    <v>en-GB</v>
    <v>Map</v>
  </rv>
  <rv s="1">
    <fb>295605</fb>
    <v>10</v>
  </rv>
  <rv s="2">
    <v>20</v>
    <v>8</v>
    <v>76</v>
    <v>7</v>
    <v>0</v>
    <v>Image of Norte de Santander Department</v>
  </rv>
  <rv s="0">
    <v>805306368</v>
    <v>William Villamizar Laguado (Governor)</v>
    <v>3be5592a-a4f5-ca28-1911-35ef259d9d30</v>
    <v>en-GB</v>
    <v>Generic</v>
  </rv>
  <rv s="3">
    <v>23</v>
  </rv>
  <rv s="4">
    <v>https://www.bing.com/search?q=norte+de+santander+department+colombia&amp;form=skydnc</v>
    <v>Learn more on Bing</v>
  </rv>
  <rv s="1">
    <fb>1620318</fb>
    <v>10</v>
  </rv>
  <rv s="6">
    <v>#VALUE!</v>
    <v>en-GB</v>
    <v>d44c8def-e6be-c3f1-ab4e-e27af99a2e0b</v>
    <v>536870912</v>
    <v>1</v>
    <v>78</v>
    <v>20</v>
    <v>Norte de Santander Department</v>
    <v>6</v>
    <v>7</v>
    <v>Map</v>
    <v>8</v>
    <v>9</v>
    <v>CO-NSA</v>
    <v>214</v>
    <v>215</v>
    <v>3</v>
    <v>North Santander is a department of Northeastern Colombia. It is in the north of the country, bordering Venezuela. Its capital is Cúcuta, one of the country's major cities. North Santander is bordered by Venezuela to the east and north, by ...</v>
    <v>216</v>
    <v>217</v>
    <v>215</v>
    <v>219</v>
    <v>220</v>
    <v>Norte de Santander Department</v>
    <v>221</v>
    <v>Norte de Santander Department</v>
    <v>mdp/vdpid/9406503</v>
  </rv>
  <rv s="0">
    <v>536870912</v>
    <v>Putumayo Department</v>
    <v>45f7bd51-6a99-6e2e-3095-604393add4b0</v>
    <v>en-GB</v>
    <v>Map</v>
  </rv>
  <rv s="1">
    <fb>24885</fb>
    <v>10</v>
  </rv>
  <rv s="0">
    <v>536870912</v>
    <v>Mocoa</v>
    <v>fb0d0b7c-d2b3-307d-2e00-ace8205ad474</v>
    <v>en-GB</v>
    <v>Map</v>
  </rv>
  <rv s="1">
    <fb>69570</fb>
    <v>10</v>
  </rv>
  <rv s="2">
    <v>21</v>
    <v>8</v>
    <v>79</v>
    <v>7</v>
    <v>0</v>
    <v>Image of Putumayo Department</v>
  </rv>
  <rv s="0">
    <v>536870912</v>
    <v>Orito</v>
    <v>0b32c096-7333-77fb-af4e-abf896aec920</v>
    <v>en-GB</v>
    <v>Map</v>
  </rv>
  <rv s="0">
    <v>805306368</v>
    <v>Sorrel Parisa Aroca Rodriguez (Governor)</v>
    <v>7932c611-b7eb-9ec8-1626-f3955878e24f</v>
    <v>en-GB</v>
    <v>Generic</v>
  </rv>
  <rv s="3">
    <v>24</v>
  </rv>
  <rv s="4">
    <v>https://www.bing.com/search?q=putumayo+department+colombia&amp;form=skydnc</v>
    <v>Learn more on Bing</v>
  </rv>
  <rv s="1">
    <fb>359127</fb>
    <v>10</v>
  </rv>
  <rv s="6">
    <v>#VALUE!</v>
    <v>en-GB</v>
    <v>45f7bd51-6a99-6e2e-3095-604393add4b0</v>
    <v>536870912</v>
    <v>1</v>
    <v>81</v>
    <v>20</v>
    <v>Putumayo Department</v>
    <v>6</v>
    <v>7</v>
    <v>Map</v>
    <v>8</v>
    <v>9</v>
    <v>CO-PUT</v>
    <v>224</v>
    <v>225</v>
    <v>3</v>
    <v>Putumayo is a department of Southern Colombia. It is in the south-west of the country, bordering Ecuador and Peru. Its capital is Mocoa. The word putumayo comes from the Quechua languages. The verb p'utuy means "to spring forth" or "to burst ...</v>
    <v>226</v>
    <v>227</v>
    <v>228</v>
    <v>230</v>
    <v>231</v>
    <v>Putumayo Department</v>
    <v>232</v>
    <v>Putumayo Department</v>
    <v>mdp/vdpid/10106916</v>
  </rv>
  <rv s="0">
    <v>536870912</v>
    <v>Quindío Department</v>
    <v>0bb62acd-b714-a5dd-dc49-6f69ddaba02c</v>
    <v>en-GB</v>
    <v>Map</v>
  </rv>
  <rv s="1">
    <fb>1845</fb>
    <v>10</v>
  </rv>
  <rv s="0">
    <v>536870912</v>
    <v>Armenia</v>
    <v>9f713bea-584e-bcb2-fad2-76734e840ef6</v>
    <v>en-GB</v>
    <v>Map</v>
  </rv>
  <rv s="1">
    <fb>145612</fb>
    <v>10</v>
  </rv>
  <rv s="2">
    <v>22</v>
    <v>8</v>
    <v>82</v>
    <v>7</v>
    <v>0</v>
    <v>Image of Quindío Department</v>
  </rv>
  <rv s="0">
    <v>805306368</v>
    <v>Roberto Jairo Jaramillo Cardenas (Governor)</v>
    <v>e1e56920-2915-1461-a2d8-7bb4aaa600b3</v>
    <v>en-GB</v>
    <v>Generic</v>
  </rv>
  <rv s="3">
    <v>25</v>
  </rv>
  <rv s="4">
    <v>https://www.bing.com/search?q=quind%c3%ado+department+colombia&amp;form=skydnc</v>
    <v>Learn more on Bing</v>
  </rv>
  <rv s="1">
    <fb>555401</fb>
    <v>10</v>
  </rv>
  <rv s="6">
    <v>#VALUE!</v>
    <v>en-GB</v>
    <v>0bb62acd-b714-a5dd-dc49-6f69ddaba02c</v>
    <v>536870912</v>
    <v>1</v>
    <v>84</v>
    <v>20</v>
    <v>Quindío Department</v>
    <v>6</v>
    <v>7</v>
    <v>Map</v>
    <v>8</v>
    <v>9</v>
    <v>CO-QUI</v>
    <v>235</v>
    <v>236</v>
    <v>3</v>
    <v>Quindío is a department of Colombia. It's located in the western central of the country, specifically in the Andean region. Its capital is Armenia. It's famous for the quality of the coffee plantations, colorful architecture, benign weather, ...</v>
    <v>237</v>
    <v>238</v>
    <v>236</v>
    <v>240</v>
    <v>241</v>
    <v>Quindío Department</v>
    <v>242</v>
    <v>Quindío Department</v>
    <v>mdp/vdpid/10106922</v>
  </rv>
  <rv s="0">
    <v>536870912</v>
    <v>Risaralda Department</v>
    <v>12859881-10e7-a44f-aa52-ed6ecbc80e7c</v>
    <v>en-GB</v>
    <v>Map</v>
  </rv>
  <rv s="1">
    <fb>3600</fb>
    <v>10</v>
  </rv>
  <rv s="0">
    <v>536870912</v>
    <v>Pereira</v>
    <v>d348f442-8e77-a0fc-3525-8c1a05184766</v>
    <v>en-GB</v>
    <v>Map</v>
  </rv>
  <rv s="1">
    <fb>230748</fb>
    <v>10</v>
  </rv>
  <rv s="2">
    <v>23</v>
    <v>8</v>
    <v>85</v>
    <v>7</v>
    <v>0</v>
    <v>Image of Risaralda Department</v>
  </rv>
  <rv s="0">
    <v>805306368</v>
    <v>Sigifredo Salazar Osorio (Governor)</v>
    <v>ccc170e2-58e5-04cf-54f6-7bbc757df90a</v>
    <v>en-GB</v>
    <v>Generic</v>
  </rv>
  <rv s="3">
    <v>26</v>
  </rv>
  <rv s="4">
    <v>https://www.bing.com/search?q=risaralda+department+colombia&amp;form=skydnc</v>
    <v>Learn more on Bing</v>
  </rv>
  <rv s="1">
    <fb>961055</fb>
    <v>10</v>
  </rv>
  <rv s="6">
    <v>#VALUE!</v>
    <v>en-GB</v>
    <v>12859881-10e7-a44f-aa52-ed6ecbc80e7c</v>
    <v>536870912</v>
    <v>1</v>
    <v>87</v>
    <v>20</v>
    <v>Risaralda Department</v>
    <v>6</v>
    <v>7</v>
    <v>Map</v>
    <v>8</v>
    <v>9</v>
    <v>CO-RIS</v>
    <v>245</v>
    <v>246</v>
    <v>3</v>
    <v>Risaralda is a department of Colombia. It's located in the western central of the country, in the Andean region, It's part of the Coffee axis with Caldas and Quindío. Its capital is Pereira. Risaralda is very well known for the high quality of ...</v>
    <v>247</v>
    <v>248</v>
    <v>246</v>
    <v>250</v>
    <v>251</v>
    <v>Risaralda Department</v>
    <v>252</v>
    <v>Risaralda Department</v>
    <v>mdp/vdpid/27859</v>
  </rv>
  <rv s="0">
    <v>536870912</v>
    <v>Archipelago of San Andrés, Providencia and Santa Catalina</v>
    <v>188ba911-2335-579f-505a-e6bde1ce992c</v>
    <v>en-GB</v>
    <v>Map</v>
  </rv>
  <rv s="1">
    <fb>52.5</fb>
    <v>10</v>
  </rv>
  <rv s="0">
    <v>536870912</v>
    <v>North End</v>
    <v>7899e9f8-0bb5-9cef-4bda-6353ff09796a</v>
    <v>en-GB</v>
    <v>Map</v>
  </rv>
  <rv s="1">
    <fb>16292</fb>
    <v>10</v>
  </rv>
  <rv s="2">
    <v>24</v>
    <v>8</v>
    <v>88</v>
    <v>7</v>
    <v>0</v>
    <v>Image of Archipelago of San Andrés, Providencia and Santa Catalina</v>
  </rv>
  <rv s="0">
    <v>805306368</v>
    <v>Everth Hawkins Sjogreen (Governor)</v>
    <v>ef6a7b17-04b4-9e9f-5d33-e1919503cbca</v>
    <v>en-GB</v>
    <v>Generic</v>
  </rv>
  <rv s="3">
    <v>27</v>
  </rv>
  <rv s="4">
    <v>https://www.bing.com/search?q=san+andr%c3%a9s+and+providencia+colombia&amp;form=skydnc</v>
    <v>Learn more on Bing</v>
  </rv>
  <rv s="1">
    <fb>63692</fb>
    <v>10</v>
  </rv>
  <rv s="8">
    <v>#VALUE!</v>
    <v>en-GB</v>
    <v>188ba911-2335-579f-505a-e6bde1ce992c</v>
    <v>536870912</v>
    <v>1</v>
    <v>90</v>
    <v>91</v>
    <v>Archipelago of San Andrés, Providencia and Santa Catalina</v>
    <v>6</v>
    <v>7</v>
    <v>Map</v>
    <v>8</v>
    <v>9</v>
    <v>CO-SAP</v>
    <v>255</v>
    <v>256</v>
    <v>3</v>
    <v>The Archipelago of San Andrés, Providencia and Santa Catalina, or San Andrés and Providencia, is one of the departments of Colombia, and the only one located geographically in Central America. It consists of two island groups in the Caribbean ...</v>
    <v>257</v>
    <v>258</v>
    <v>260</v>
    <v>261</v>
    <v>Archipelago of San Andrés, Providencia and Santa Catalina</v>
    <v>262</v>
    <v>Archipelago of San Andrés, Providencia and Santa Catalina</v>
    <v>mdp/vdpid/10106952</v>
  </rv>
  <rv s="0">
    <v>536870912</v>
    <v>Santander Department</v>
    <v>98fbfaa3-063d-4261-a806-2b84a0339e05</v>
    <v>en-GB</v>
    <v>Map</v>
  </rv>
  <rv s="1">
    <fb>30537</fb>
    <v>10</v>
  </rv>
  <rv s="0">
    <v>536870912</v>
    <v>Bucaramanga</v>
    <v>b2b7d5d4-6e24-8927-87fe-0c327b2b2c86</v>
    <v>en-GB</v>
    <v>Map</v>
  </rv>
  <rv s="1">
    <fb>495179</fb>
    <v>10</v>
  </rv>
  <rv s="2">
    <v>25</v>
    <v>8</v>
    <v>92</v>
    <v>7</v>
    <v>0</v>
    <v>Image of Santander Department</v>
  </rv>
  <rv s="0">
    <v>805306368</v>
    <v>Didier Alberto Tavera Amado (Governor)</v>
    <v>467f4b8b-827f-5c24-141c-43805fe0f8e1</v>
    <v>en-GB</v>
    <v>Generic</v>
  </rv>
  <rv s="3">
    <v>28</v>
  </rv>
  <rv s="4">
    <v>https://www.bing.com/search?q=santander+department+colombia&amp;form=skydnc</v>
    <v>Learn more on Bing</v>
  </rv>
  <rv s="1">
    <fb>2280908</fb>
    <v>10</v>
  </rv>
  <rv s="6">
    <v>#VALUE!</v>
    <v>en-GB</v>
    <v>98fbfaa3-063d-4261-a806-2b84a0339e05</v>
    <v>536870912</v>
    <v>1</v>
    <v>94</v>
    <v>20</v>
    <v>Santander Department</v>
    <v>6</v>
    <v>7</v>
    <v>Map</v>
    <v>8</v>
    <v>9</v>
    <v>CO-SAN</v>
    <v>265</v>
    <v>266</v>
    <v>3</v>
    <v>Santander is a department of Colombia. Santander inherited the name of one of the nine original states of the United States of Colombia. It is located in the central northern part of the country, borders the Magdalena River to the east, Boyacá ...</v>
    <v>267</v>
    <v>268</v>
    <v>266</v>
    <v>270</v>
    <v>271</v>
    <v>Santander Department</v>
    <v>272</v>
    <v>Santander Department</v>
    <v>mdp/vdpid/10106936</v>
  </rv>
  <rv s="0">
    <v>536870912</v>
    <v>Sucre Department</v>
    <v>771a5a65-ef7a-6112-a7e0-0a670038add2</v>
    <v>en-GB</v>
    <v>Map</v>
  </rv>
  <rv s="1">
    <fb>10917</fb>
    <v>10</v>
  </rv>
  <rv s="0">
    <v>536870912</v>
    <v>Sincelejo</v>
    <v>21d0cd93-77e9-2ee0-a57e-1dbd351f1563</v>
    <v>en-GB</v>
    <v>Map</v>
  </rv>
  <rv s="1">
    <fb>167769</fb>
    <v>10</v>
  </rv>
  <rv s="2">
    <v>26</v>
    <v>8</v>
    <v>95</v>
    <v>7</v>
    <v>0</v>
    <v>Image of Sucre Department</v>
  </rv>
  <rv s="0">
    <v>805306368</v>
    <v>Edgar Enrique Martinez Romero (Governor)</v>
    <v>aa77b9eb-94b4-ce74-3bb3-6a51d710f1d1</v>
    <v>en-GB</v>
    <v>Generic</v>
  </rv>
  <rv s="3">
    <v>29</v>
  </rv>
  <rv s="4">
    <v>https://www.bing.com/search?q=sucre+department+colombia&amp;form=skydnc</v>
    <v>Learn more on Bing</v>
  </rv>
  <rv s="1">
    <fb>949252</fb>
    <v>10</v>
  </rv>
  <rv s="6">
    <v>#VALUE!</v>
    <v>en-GB</v>
    <v>771a5a65-ef7a-6112-a7e0-0a670038add2</v>
    <v>536870912</v>
    <v>1</v>
    <v>97</v>
    <v>20</v>
    <v>Sucre Department</v>
    <v>6</v>
    <v>7</v>
    <v>Map</v>
    <v>8</v>
    <v>9</v>
    <v>CO-SUC</v>
    <v>275</v>
    <v>276</v>
    <v>3</v>
    <v>Sucre is a department in the Caribbean Region of Colombia. The department ranks 27th by area, 10,670 km² and it has a population of 904,863, ranking 20th of all the 32 departments of Colombia. Sucre is bordered by the Caribbean on the northwest; ...</v>
    <v>277</v>
    <v>278</v>
    <v>276</v>
    <v>280</v>
    <v>281</v>
    <v>Sucre Department</v>
    <v>282</v>
    <v>Sucre Department</v>
    <v>mdp/vdpid/10106941</v>
  </rv>
  <rv s="0">
    <v>536870912</v>
    <v>Tolima Department</v>
    <v>9f5d3f6f-e4de-1042-2cb7-b84911d028d4</v>
    <v>en-GB</v>
    <v>Map</v>
  </rv>
  <rv s="1">
    <fb>23562</fb>
    <v>10</v>
  </rv>
  <rv s="0">
    <v>536870912</v>
    <v>Ibagué</v>
    <v>43cc9ce9-0faf-3537-c0bc-350b79430d14</v>
    <v>en-GB</v>
    <v>Map</v>
  </rv>
  <rv s="1">
    <fb>363637</fb>
    <v>10</v>
  </rv>
  <rv s="2">
    <v>27</v>
    <v>8</v>
    <v>98</v>
    <v>7</v>
    <v>0</v>
    <v>Image of Tolima Department</v>
  </rv>
  <rv s="0">
    <v>805306368</v>
    <v>Oscar Barreto Quiroga (Governor)</v>
    <v>be260c0a-6065-b38a-bb18-49767184a67b</v>
    <v>en-GB</v>
    <v>Generic</v>
  </rv>
  <rv s="3">
    <v>30</v>
  </rv>
  <rv s="4">
    <v>https://www.bing.com/search?q=tolima+department+colombia&amp;form=skydnc</v>
    <v>Learn more on Bing</v>
  </rv>
  <rv s="1">
    <fb>1339998</fb>
    <v>10</v>
  </rv>
  <rv s="6">
    <v>#VALUE!</v>
    <v>en-GB</v>
    <v>9f5d3f6f-e4de-1042-2cb7-b84911d028d4</v>
    <v>536870912</v>
    <v>1</v>
    <v>100</v>
    <v>20</v>
    <v>Tolima Department</v>
    <v>6</v>
    <v>7</v>
    <v>Map</v>
    <v>8</v>
    <v>9</v>
    <v>CO-TOL</v>
    <v>285</v>
    <v>286</v>
    <v>3</v>
    <v>Tolima is one of the 32 departments of Colombia, located in the Andean region, in the center-west of the country. It is bordered on the north and the west by the department of Caldas; on the east by the department of Cundinamarca; on the south ...</v>
    <v>287</v>
    <v>288</v>
    <v>286</v>
    <v>290</v>
    <v>291</v>
    <v>Tolima Department</v>
    <v>292</v>
    <v>Tolima Department</v>
    <v>mdp/vdpid/33584</v>
  </rv>
  <rv s="0">
    <v>536870912</v>
    <v>Valle del Cauca Department</v>
    <v>ce6e3742-88ee-970c-b7e9-de685afbebe8</v>
    <v>en-GB</v>
    <v>Map</v>
  </rv>
  <rv s="1">
    <fb>22140</fb>
    <v>10</v>
  </rv>
  <rv s="0">
    <v>536870912</v>
    <v>Cali</v>
    <v>42b755d2-073a-e717-a09f-2c2eca96b851</v>
    <v>en-GB</v>
    <v>Map</v>
  </rv>
  <rv s="1">
    <fb>1030633</fb>
    <v>10</v>
  </rv>
  <rv s="2">
    <v>28</v>
    <v>8</v>
    <v>101</v>
    <v>7</v>
    <v>0</v>
    <v>Image of Valle del Cauca Department</v>
  </rv>
  <rv s="0">
    <v>805306368</v>
    <v>Clara Luz Roldán (Governor)</v>
    <v>26671826-82ea-fde1-f07d-b2c8ce0b4e33</v>
    <v>en-GB</v>
    <v>Generic</v>
  </rv>
  <rv s="3">
    <v>31</v>
  </rv>
  <rv s="4">
    <v>https://www.bing.com/search?q=valle+del+cauca+department&amp;form=skydnc</v>
    <v>Learn more on Bing</v>
  </rv>
  <rv s="1">
    <fb>4532152</fb>
    <v>10</v>
  </rv>
  <rv s="6">
    <v>#VALUE!</v>
    <v>en-GB</v>
    <v>ce6e3742-88ee-970c-b7e9-de685afbebe8</v>
    <v>536870912</v>
    <v>1</v>
    <v>103</v>
    <v>20</v>
    <v>Valle del Cauca Department</v>
    <v>6</v>
    <v>7</v>
    <v>Map</v>
    <v>8</v>
    <v>9</v>
    <v>CO-VAC</v>
    <v>295</v>
    <v>296</v>
    <v>3</v>
    <v>Valle del Cauca, or Cauca Valley, is a department in western Colombia abutting the Pacific Ocean. Its capital is Santiago de Cali. Other cities such as Buenaventura, Buga, Cartago, Palmira and Tuluá have great economical, political, social and ...</v>
    <v>297</v>
    <v>298</v>
    <v>296</v>
    <v>300</v>
    <v>301</v>
    <v>Valle del Cauca Department</v>
    <v>302</v>
    <v>Valle del Cauca Department</v>
    <v>mdp/vdpid/34749</v>
  </rv>
  <rv s="0">
    <v>536870912</v>
    <v>Vaupés Department</v>
    <v>54afacd5-8118-0ece-5ab8-dbab67c52f56</v>
    <v>en-GB</v>
    <v>Map</v>
  </rv>
  <rv s="1">
    <fb>54135</fb>
    <v>10</v>
  </rv>
  <rv s="0">
    <v>536870912</v>
    <v>Mitú</v>
    <v>cfc063e4-1bae-568c-8fe5-f83fcd672e49</v>
    <v>en-GB</v>
    <v>Map</v>
  </rv>
  <rv s="1">
    <fb>3382</fb>
    <v>10</v>
  </rv>
  <rv s="2">
    <v>29</v>
    <v>8</v>
    <v>104</v>
    <v>7</v>
    <v>0</v>
    <v>Image of Vaupés Department</v>
  </rv>
  <rv s="0">
    <v>805306368</v>
    <v>Jesús Maria Vásquez Caicedo (Governor)</v>
    <v>4f30d282-4470-70f2-7d5f-664eefdc0400</v>
    <v>en-GB</v>
    <v>Generic</v>
  </rv>
  <rv s="3">
    <v>32</v>
  </rv>
  <rv s="4">
    <v>https://www.bing.com/search?q=vaup%c3%a9s+department+colombia&amp;form=skydnc</v>
    <v>Learn more on Bing</v>
  </rv>
  <rv s="1">
    <fb>44712</fb>
    <v>10</v>
  </rv>
  <rv s="6">
    <v>#VALUE!</v>
    <v>en-GB</v>
    <v>54afacd5-8118-0ece-5ab8-dbab67c52f56</v>
    <v>536870912</v>
    <v>1</v>
    <v>106</v>
    <v>20</v>
    <v>Vaupés Department</v>
    <v>6</v>
    <v>7</v>
    <v>Map</v>
    <v>8</v>
    <v>9</v>
    <v>CO-VAU</v>
    <v>305</v>
    <v>306</v>
    <v>3</v>
    <v>Vaupés is a department of Southeastern Colombia in the jungle covered Amazonic Region. It is located in the southeast part of the country, bordering Brazil to the east, the department of Amazonas to the south, Caquetá to the west, and Guabari, ...</v>
    <v>307</v>
    <v>308</v>
    <v>306</v>
    <v>310</v>
    <v>311</v>
    <v>Vaupés Department</v>
    <v>312</v>
    <v>Vaupés Department</v>
    <v>mdp/vdpid/10106917</v>
  </rv>
  <rv s="0">
    <v>536870912</v>
    <v>Vichada Department</v>
    <v>17e2497e-dacc-256d-298c-9eb5d2977e40</v>
    <v>en-GB</v>
    <v>Map</v>
  </rv>
  <rv s="1">
    <fb>100242</fb>
    <v>10</v>
  </rv>
  <rv s="0">
    <v>536870912</v>
    <v>Puerto Carreño</v>
    <v>f948bc67-ae80-05bb-4b05-4c6bc710bdcf</v>
    <v>en-GB</v>
    <v>Map</v>
  </rv>
  <rv s="1">
    <fb>8959</fb>
    <v>10</v>
  </rv>
  <rv s="2">
    <v>30</v>
    <v>8</v>
    <v>107</v>
    <v>7</v>
    <v>0</v>
    <v>Image of Vichada Department</v>
  </rv>
  <rv s="0">
    <v>536870912</v>
    <v>Cumaribo</v>
    <v>99003acc-a4a0-d4ea-eb96-cb0f99aac76e</v>
    <v>en-GB</v>
    <v>Map</v>
  </rv>
  <rv s="0">
    <v>805306368</v>
    <v>Luis Carlos Alvarez Morales (Governor)</v>
    <v>15f552e4-620f-8053-806e-09001864d02d</v>
    <v>en-GB</v>
    <v>Generic</v>
  </rv>
  <rv s="3">
    <v>33</v>
  </rv>
  <rv s="4">
    <v>https://www.bing.com/search?q=vichada+department+colombia&amp;form=skydnc</v>
    <v>Learn more on Bing</v>
  </rv>
  <rv s="1">
    <fb>112958</fb>
    <v>10</v>
  </rv>
  <rv s="5">
    <v>#VALUE!</v>
    <v>en-GB</v>
    <v>17e2497e-dacc-256d-298c-9eb5d2977e40</v>
    <v>536870912</v>
    <v>1</v>
    <v>109</v>
    <v>4</v>
    <v>Vichada Department</v>
    <v>6</v>
    <v>7</v>
    <v>Map</v>
    <v>8</v>
    <v>9</v>
    <v>CO-VID</v>
    <v>315</v>
    <v>316</v>
    <v>3</v>
    <v>Vichada Department is a department of the Republic of Colombia in South America. Vichada is located in the eastern plains of Colombia, in the Orinoquía Region within the Orinoco river basin bordering the Bolivarian Republic of Venezuela to the ...</v>
    <v>317</v>
    <v>318</v>
    <v>319</v>
    <v>321</v>
    <v>322</v>
    <v>Vichada Department</v>
    <v>9</v>
    <v>323</v>
    <v>Vichada Department</v>
    <v>mdp/vdpid/10106927</v>
  </rv>
</rvData>
</file>

<file path=xl/richData/rdrichvaluestructure.xml><?xml version="1.0" encoding="utf-8"?>
<rvStructures xmlns="http://schemas.microsoft.com/office/spreadsheetml/2017/richdata" count="9">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Housing units" t="r"/>
    <k n="Image" t="r"/>
    <k n="Largest city" t="r"/>
    <k n="Leader(s)" t="r"/>
    <k n="LearnMoreOnLink" t="r"/>
    <k n="Name" t="s"/>
    <k n="Official language" t="r"/>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Housing units" t="r"/>
    <k n="Image" t="r"/>
    <k n="Largest city" t="r"/>
    <k n="Leader(s)"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Housing units" t="r"/>
    <k n="Largest city" t="r"/>
    <k n="Leader(s)"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Housing units" t="r"/>
    <k n="Image" t="r"/>
    <k n="Leader(s)" t="r"/>
    <k n="LearnMoreOnLink" t="r"/>
    <k n="Name" t="s"/>
    <k n="Population" t="r"/>
    <k n="UniqueName" t="s"/>
    <k n="VDPID/VSID" t="s"/>
  </s>
</rvStructures>
</file>

<file path=xl/richData/rdsupportingpropertybag.xml><?xml version="1.0" encoding="utf-8"?>
<supportingPropertyBags xmlns="http://schemas.microsoft.com/office/spreadsheetml/2017/richdata2">
  <spbArrays count="4">
    <a count="27">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Official language</v>
      <v t="s">Housing units</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Housing units</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Housing units</v>
      <v t="s">_Flags</v>
      <v t="s">VDPID/VSID</v>
      <v t="s">UniqueName</v>
      <v t="s">_DisplayString</v>
      <v t="s">LearnMoreOnLink</v>
      <v t="s">Description</v>
    </a>
    <a count="25">
      <v t="s">%EntityServiceId</v>
      <v t="s">%IsRefreshable</v>
      <v t="s">%EntityCulture</v>
      <v t="s">%EntityId</v>
      <v t="s">_Icon</v>
      <v t="s">_Provider</v>
      <v t="s">_Attribution</v>
      <v t="s">_Display</v>
      <v t="s">Name</v>
      <v t="s">_Format</v>
      <v t="s">Capital/Major City</v>
      <v t="s">Leader(s)</v>
      <v t="s">Country/region</v>
      <v t="s">_SubLabel</v>
      <v t="s">Population</v>
      <v t="s">Area</v>
      <v t="s">Abbreviation</v>
      <v t="s">Housing units</v>
      <v t="s">_Flags</v>
      <v t="s">VDPID/VSID</v>
      <v t="s">UniqueName</v>
      <v t="s">_DisplayString</v>
      <v t="s">LearnMoreOnLink</v>
      <v t="s">Image</v>
      <v t="s">Description</v>
    </a>
  </spbArrays>
  <spbData count="110">
    <spb s="0">
      <v xml:space="preserve">Wikipedia	</v>
      <v xml:space="preserve">CC BY-SA 3.0	</v>
      <v xml:space="preserve">https://en.wikipedia.org/wiki/Amazonas_Department	</v>
      <v xml:space="preserve">https://creativecommons.org/licenses/by-sa/3.0	</v>
    </spb>
    <spb s="0">
      <v xml:space="preserve">Wikipedia	</v>
      <v xml:space="preserve">CC-BY-SA	</v>
      <v xml:space="preserve">http://en.wikipedia.org/wiki/Amazonas_Department	</v>
      <v xml:space="preserve">http://creativecommons.org/licenses/by-sa/3.0/	</v>
    </spb>
    <spb s="0">
      <v xml:space="preserve">dane.gov.co	</v>
      <v xml:space="preserve">	</v>
      <v xml:space="preserve">http://www.dane.gov.co/censo/files/cuadros%20censo%202005.xls#Cuadro4.9	</v>
      <v xml:space="preserve">	</v>
    </spb>
    <spb s="1">
      <v>0</v>
      <v>0</v>
      <v>0</v>
      <v>0</v>
      <v>0</v>
      <v>1</v>
      <v>0</v>
      <v>2</v>
      <v>0</v>
      <v>0</v>
    </spb>
    <spb s="2">
      <v>0</v>
      <v>Name</v>
      <v>LearnMoreOnLink</v>
    </spb>
    <spb s="3">
      <v>0</v>
      <v>0</v>
      <v>0</v>
    </spb>
    <spb s="4">
      <v>5</v>
      <v>5</v>
      <v>5</v>
    </spb>
    <spb s="5">
      <v>1</v>
      <v>2</v>
    </spb>
    <spb s="6">
      <v>https://www.bing.com</v>
      <v>https://www.bing.com/th?id=Ga%5Cbing_yt.png&amp;w=100&amp;h=40&amp;c=0&amp;pid=0.1</v>
      <v>Powered by Bing</v>
    </spb>
    <spb s="7">
      <v>square km</v>
      <v>2020</v>
      <v>2005</v>
    </spb>
    <spb s="8">
      <v>3</v>
    </spb>
    <spb s="0">
      <v xml:space="preserve">Wikipedia	</v>
      <v xml:space="preserve">CC BY-SA 3.0	</v>
      <v xml:space="preserve">https://en.wikipedia.org/wiki/Antioquia_Department	</v>
      <v xml:space="preserve">https://creativecommons.org/licenses/by-sa/3.0	</v>
    </spb>
    <spb s="0">
      <v xml:space="preserve">Wikipedia	</v>
      <v xml:space="preserve">CC-BY-SA	</v>
      <v xml:space="preserve">http://en.wikipedia.org/wiki/Antioquia_Department	</v>
      <v xml:space="preserve">http://creativecommons.org/licenses/by-sa/3.0/	</v>
    </spb>
    <spb s="1">
      <v>11</v>
      <v>11</v>
      <v>11</v>
      <v>11</v>
      <v>11</v>
      <v>12</v>
      <v>11</v>
      <v>2</v>
      <v>11</v>
      <v>11</v>
    </spb>
    <spb s="0">
      <v xml:space="preserve">Wikipedia	</v>
      <v xml:space="preserve">CC BY-SA 3.0	</v>
      <v xml:space="preserve">https://en.wikipedia.org/wiki/Arauca_Department	</v>
      <v xml:space="preserve">https://creativecommons.org/licenses/by-sa/3.0	</v>
    </spb>
    <spb s="0">
      <v xml:space="preserve">Wikipedia	</v>
      <v xml:space="preserve">CC-BY-SA	</v>
      <v xml:space="preserve">http://en.wikipedia.org/wiki/Arauca_Department	</v>
      <v xml:space="preserve">http://creativecommons.org/licenses/by-sa/3.0/	</v>
    </spb>
    <spb s="1">
      <v>14</v>
      <v>14</v>
      <v>14</v>
      <v>14</v>
      <v>14</v>
      <v>15</v>
      <v>14</v>
      <v>2</v>
      <v>14</v>
      <v>14</v>
    </spb>
    <spb s="0">
      <v xml:space="preserve">Wikipedia	</v>
      <v xml:space="preserve">CC BY-SA 3.0	</v>
      <v xml:space="preserve">https://en.wikipedia.org/wiki/Atl%C3%A1ntico_Department	</v>
      <v xml:space="preserve">https://creativecommons.org/licenses/by-sa/3.0	</v>
    </spb>
    <spb s="0">
      <v xml:space="preserve">Wikipedia	</v>
      <v xml:space="preserve">CC-BY-SA	</v>
      <v xml:space="preserve">http://en.wikipedia.org/wiki/Atlántico_Department	</v>
      <v xml:space="preserve">http://creativecommons.org/licenses/by-sa/3.0/	</v>
    </spb>
    <spb s="1">
      <v>17</v>
      <v>17</v>
      <v>17</v>
      <v>17</v>
      <v>17</v>
      <v>18</v>
      <v>17</v>
      <v>2</v>
      <v>17</v>
      <v>17</v>
    </spb>
    <spb s="2">
      <v>1</v>
      <v>Name</v>
      <v>LearnMoreOnLink</v>
    </spb>
    <spb s="0">
      <v xml:space="preserve">Wikipedia	</v>
      <v xml:space="preserve">CC BY-SA 3.0	</v>
      <v xml:space="preserve">https://en.wikipedia.org/wiki/Bol%C3%ADvar_Department	</v>
      <v xml:space="preserve">https://creativecommons.org/licenses/by-sa/3.0	</v>
    </spb>
    <spb s="0">
      <v xml:space="preserve">Wikipedia	</v>
      <v xml:space="preserve">CC-BY-SA	</v>
      <v xml:space="preserve">http://en.wikipedia.org/wiki/Bolívar_Department	</v>
      <v xml:space="preserve">http://creativecommons.org/licenses/by-sa/3.0/	</v>
    </spb>
    <spb s="1">
      <v>21</v>
      <v>21</v>
      <v>21</v>
      <v>21</v>
      <v>21</v>
      <v>22</v>
      <v>21</v>
      <v>2</v>
      <v>21</v>
      <v>21</v>
    </spb>
    <spb s="0">
      <v xml:space="preserve">Wikipedia	</v>
      <v xml:space="preserve">CC BY-SA 3.0	</v>
      <v xml:space="preserve">https://en.wikipedia.org/wiki/Boyac%C3%A1_Department	</v>
      <v xml:space="preserve">https://creativecommons.org/licenses/by-sa/3.0	</v>
    </spb>
    <spb s="0">
      <v xml:space="preserve">Wikipedia	</v>
      <v xml:space="preserve">CC-BY-SA	</v>
      <v xml:space="preserve">http://en.wikipedia.org/wiki/Boyacá_Department	</v>
      <v xml:space="preserve">http://creativecommons.org/licenses/by-sa/3.0/	</v>
    </spb>
    <spb s="1">
      <v>24</v>
      <v>24</v>
      <v>24</v>
      <v>24</v>
      <v>24</v>
      <v>25</v>
      <v>24</v>
      <v>2</v>
      <v>24</v>
      <v>24</v>
    </spb>
    <spb s="0">
      <v xml:space="preserve">Wikipedia	</v>
      <v xml:space="preserve">CC BY-SA 3.0	</v>
      <v xml:space="preserve">https://en.wikipedia.org/wiki/Caldas_Department	</v>
      <v xml:space="preserve">https://creativecommons.org/licenses/by-sa/3.0	</v>
    </spb>
    <spb s="0">
      <v xml:space="preserve">Wikipedia	</v>
      <v xml:space="preserve">CC-BY-SA	</v>
      <v xml:space="preserve">http://en.wikipedia.org/wiki/Caldas_Department	</v>
      <v xml:space="preserve">http://creativecommons.org/licenses/by-sa/3.0/	</v>
    </spb>
    <spb s="1">
      <v>27</v>
      <v>27</v>
      <v>27</v>
      <v>27</v>
      <v>27</v>
      <v>28</v>
      <v>27</v>
      <v>2</v>
      <v>27</v>
      <v>27</v>
    </spb>
    <spb s="0">
      <v xml:space="preserve">Wikipedia	</v>
      <v xml:space="preserve">CC BY-SA 3.0	</v>
      <v xml:space="preserve">https://en.wikipedia.org/wiki/Caquet%C3%A1_Department	</v>
      <v xml:space="preserve">https://creativecommons.org/licenses/by-sa/3.0	</v>
    </spb>
    <spb s="0">
      <v xml:space="preserve">Wikipedia	</v>
      <v xml:space="preserve">CC-BY-SA	</v>
      <v xml:space="preserve">http://en.wikipedia.org/wiki/Caquetá_Department	</v>
      <v xml:space="preserve">http://creativecommons.org/licenses/by-sa/3.0/	</v>
    </spb>
    <spb s="1">
      <v>30</v>
      <v>30</v>
      <v>30</v>
      <v>30</v>
      <v>30</v>
      <v>31</v>
      <v>30</v>
      <v>2</v>
      <v>30</v>
      <v>30</v>
    </spb>
    <spb s="0">
      <v xml:space="preserve">Wikipedia	</v>
      <v xml:space="preserve">CC BY-SA 3.0	</v>
      <v xml:space="preserve">https://en.wikipedia.org/wiki/Casanare_Department	</v>
      <v xml:space="preserve">https://creativecommons.org/licenses/by-sa/3.0	</v>
    </spb>
    <spb s="0">
      <v xml:space="preserve">Wikipedia	</v>
      <v xml:space="preserve">CC-BY-SA	</v>
      <v xml:space="preserve">http://en.wikipedia.org/wiki/Casanare_Department	</v>
      <v xml:space="preserve">http://creativecommons.org/licenses/by-sa/3.0/	</v>
    </spb>
    <spb s="1">
      <v>33</v>
      <v>33</v>
      <v>33</v>
      <v>33</v>
      <v>33</v>
      <v>34</v>
      <v>33</v>
      <v>2</v>
      <v>33</v>
      <v>33</v>
    </spb>
    <spb s="0">
      <v xml:space="preserve">Wikipedia	</v>
      <v xml:space="preserve">CC BY-SA 3.0	</v>
      <v xml:space="preserve">https://en.wikipedia.org/wiki/Cauca_Department	</v>
      <v xml:space="preserve">https://creativecommons.org/licenses/by-sa/3.0	</v>
    </spb>
    <spb s="0">
      <v xml:space="preserve">Wikipedia	</v>
      <v xml:space="preserve">CC-BY-SA	</v>
      <v xml:space="preserve">http://en.wikipedia.org/wiki/Cauca_Department	</v>
      <v xml:space="preserve">http://creativecommons.org/licenses/by-sa/3.0/	</v>
    </spb>
    <spb s="1">
      <v>36</v>
      <v>36</v>
      <v>36</v>
      <v>36</v>
      <v>36</v>
      <v>37</v>
      <v>36</v>
      <v>2</v>
      <v>36</v>
      <v>36</v>
    </spb>
    <spb s="0">
      <v xml:space="preserve">Wikipedia	</v>
      <v xml:space="preserve">CC BY-SA 3.0	</v>
      <v xml:space="preserve">https://en.wikipedia.org/wiki/Cesar_Department	</v>
      <v xml:space="preserve">https://creativecommons.org/licenses/by-sa/3.0	</v>
    </spb>
    <spb s="0">
      <v xml:space="preserve">Wikipedia	</v>
      <v xml:space="preserve">CC-BY-SA	</v>
      <v xml:space="preserve">http://en.wikipedia.org/wiki/Cesar_Department	</v>
      <v xml:space="preserve">http://creativecommons.org/licenses/by-sa/3.0/	</v>
    </spb>
    <spb s="1">
      <v>39</v>
      <v>39</v>
      <v>39</v>
      <v>39</v>
      <v>39</v>
      <v>40</v>
      <v>39</v>
      <v>2</v>
      <v>39</v>
      <v>39</v>
    </spb>
    <spb s="0">
      <v xml:space="preserve">Wikipedia	</v>
      <v xml:space="preserve">CC BY-SA 3.0	</v>
      <v xml:space="preserve">https://en.wikipedia.org/wiki/Choc%C3%B3_Department	</v>
      <v xml:space="preserve">https://creativecommons.org/licenses/by-sa/3.0	</v>
    </spb>
    <spb s="0">
      <v xml:space="preserve">Wikipedia	</v>
      <v xml:space="preserve">CC-BY-SA	</v>
      <v xml:space="preserve">http://en.wikipedia.org/wiki/Chocó_Department	</v>
      <v xml:space="preserve">http://creativecommons.org/licenses/by-sa/3.0/	</v>
    </spb>
    <spb s="1">
      <v>42</v>
      <v>42</v>
      <v>42</v>
      <v>42</v>
      <v>42</v>
      <v>43</v>
      <v>42</v>
      <v>2</v>
      <v>42</v>
      <v>42</v>
    </spb>
    <spb s="7">
      <v>square km</v>
      <v>2021</v>
      <v>2005</v>
    </spb>
    <spb s="0">
      <v xml:space="preserve">Wikipedia	</v>
      <v xml:space="preserve">CC BY-SA 3.0	</v>
      <v xml:space="preserve">https://en.wikipedia.org/wiki/C%C3%B3rdoba_Department	</v>
      <v xml:space="preserve">https://creativecommons.org/licenses/by-sa/3.0	</v>
    </spb>
    <spb s="0">
      <v xml:space="preserve">Wikipedia	</v>
      <v xml:space="preserve">CC-BY-SA	</v>
      <v xml:space="preserve">http://en.wikipedia.org/wiki/Córdoba_Department	</v>
      <v xml:space="preserve">http://creativecommons.org/licenses/by-sa/3.0/	</v>
    </spb>
    <spb s="1">
      <v>46</v>
      <v>46</v>
      <v>46</v>
      <v>46</v>
      <v>46</v>
      <v>47</v>
      <v>46</v>
      <v>2</v>
      <v>46</v>
      <v>46</v>
    </spb>
    <spb s="0">
      <v xml:space="preserve">Wikipedia	</v>
      <v xml:space="preserve">CC BY-SA 3.0	</v>
      <v xml:space="preserve">https://en.wikipedia.org/wiki/Cundinamarca_Department	</v>
      <v xml:space="preserve">https://creativecommons.org/licenses/by-sa/3.0	</v>
    </spb>
    <spb s="0">
      <v xml:space="preserve">Wikipedia	</v>
      <v xml:space="preserve">CC-BY-SA	</v>
      <v xml:space="preserve">http://en.wikipedia.org/wiki/Cundinamarca_Department	</v>
      <v xml:space="preserve">http://creativecommons.org/licenses/by-sa/3.0/	</v>
    </spb>
    <spb s="1">
      <v>49</v>
      <v>49</v>
      <v>49</v>
      <v>49</v>
      <v>49</v>
      <v>50</v>
      <v>49</v>
      <v>2</v>
      <v>49</v>
      <v>49</v>
    </spb>
    <spb s="0">
      <v xml:space="preserve">Wikipedia	</v>
      <v xml:space="preserve">CC BY-SA 3.0	</v>
      <v xml:space="preserve">https://en.wikipedia.org/wiki/Guain%C3%ADa_Department	</v>
      <v xml:space="preserve">https://creativecommons.org/licenses/by-sa/3.0	</v>
    </spb>
    <spb s="0">
      <v xml:space="preserve">Wikipedia	</v>
      <v xml:space="preserve">CC-BY-SA	</v>
      <v xml:space="preserve">http://en.wikipedia.org/wiki/Guainía_Department	</v>
      <v xml:space="preserve">http://creativecommons.org/licenses/by-sa/3.0/	</v>
    </spb>
    <spb s="1">
      <v>52</v>
      <v>52</v>
      <v>52</v>
      <v>52</v>
      <v>52</v>
      <v>53</v>
      <v>52</v>
      <v>2</v>
      <v>52</v>
      <v>52</v>
    </spb>
    <spb s="0">
      <v xml:space="preserve">Wikipedia	</v>
      <v xml:space="preserve">CC BY-SA 3.0	</v>
      <v xml:space="preserve">https://en.wikipedia.org/wiki/Guaviare_Department	</v>
      <v xml:space="preserve">https://creativecommons.org/licenses/by-sa/3.0	</v>
    </spb>
    <spb s="0">
      <v xml:space="preserve">Wikipedia	</v>
      <v xml:space="preserve">CC-BY-SA	</v>
      <v xml:space="preserve">http://en.wikipedia.org/wiki/Guaviare_Department	</v>
      <v xml:space="preserve">http://creativecommons.org/licenses/by-sa/3.0/	</v>
    </spb>
    <spb s="1">
      <v>55</v>
      <v>55</v>
      <v>55</v>
      <v>55</v>
      <v>55</v>
      <v>56</v>
      <v>55</v>
      <v>2</v>
      <v>55</v>
      <v>55</v>
    </spb>
    <spb s="7">
      <v>square km</v>
      <v>2018</v>
      <v>2005</v>
    </spb>
    <spb s="0">
      <v xml:space="preserve">Wikipedia	</v>
      <v xml:space="preserve">CC BY-SA 3.0	</v>
      <v xml:space="preserve">https://en.wikipedia.org/wiki/Huila_Department	</v>
      <v xml:space="preserve">https://creativecommons.org/licenses/by-sa/3.0	</v>
    </spb>
    <spb s="0">
      <v xml:space="preserve">Wikipedia	</v>
      <v xml:space="preserve">CC-BY-SA	</v>
      <v xml:space="preserve">http://en.wikipedia.org/wiki/Huila_Department	</v>
      <v xml:space="preserve">http://creativecommons.org/licenses/by-sa/3.0/	</v>
    </spb>
    <spb s="1">
      <v>59</v>
      <v>59</v>
      <v>59</v>
      <v>59</v>
      <v>59</v>
      <v>60</v>
      <v>59</v>
      <v>2</v>
      <v>59</v>
      <v>59</v>
    </spb>
    <spb s="0">
      <v xml:space="preserve">Wikipedia	</v>
      <v xml:space="preserve">CC BY-SA 3.0	</v>
      <v xml:space="preserve">https://en.wikipedia.org/wiki/La_Guajira_Department	</v>
      <v xml:space="preserve">https://creativecommons.org/licenses/by-sa/3.0	</v>
    </spb>
    <spb s="0">
      <v xml:space="preserve">Wikipedia	</v>
      <v xml:space="preserve">CC-BY-SA	</v>
      <v xml:space="preserve">http://en.wikipedia.org/wiki/La_Guajira_Department	</v>
      <v xml:space="preserve">http://creativecommons.org/licenses/by-sa/3.0/	</v>
    </spb>
    <spb s="9">
      <v>62</v>
      <v>62</v>
      <v>62</v>
      <v>62</v>
      <v>62</v>
      <v>63</v>
      <v>2</v>
      <v>62</v>
      <v>62</v>
    </spb>
    <spb s="0">
      <v xml:space="preserve">Wikipedia	</v>
      <v xml:space="preserve">CC BY-SA 3.0	</v>
      <v xml:space="preserve">https://en.wikipedia.org/wiki/Magdalena_Department	</v>
      <v xml:space="preserve">https://creativecommons.org/licenses/by-sa/3.0	</v>
    </spb>
    <spb s="0">
      <v xml:space="preserve">Wikipedia	</v>
      <v xml:space="preserve">CC-BY-SA	</v>
      <v xml:space="preserve">http://en.wikipedia.org/wiki/Magdalena_Department	</v>
      <v xml:space="preserve">http://creativecommons.org/licenses/by-sa/3.0/	</v>
    </spb>
    <spb s="1">
      <v>65</v>
      <v>65</v>
      <v>65</v>
      <v>65</v>
      <v>65</v>
      <v>66</v>
      <v>65</v>
      <v>2</v>
      <v>65</v>
      <v>65</v>
    </spb>
    <spb s="0">
      <v xml:space="preserve">Wikipedia	</v>
      <v xml:space="preserve">CC BY-SA 3.0	</v>
      <v xml:space="preserve">https://en.wikipedia.org/wiki/Meta_Department	</v>
      <v xml:space="preserve">https://creativecommons.org/licenses/by-sa/3.0	</v>
    </spb>
    <spb s="0">
      <v xml:space="preserve">Wikipedia	</v>
      <v xml:space="preserve">CC-BY-SA	</v>
      <v xml:space="preserve">http://en.wikipedia.org/wiki/Meta_Department	</v>
      <v xml:space="preserve">http://creativecommons.org/licenses/by-sa/3.0/	</v>
    </spb>
    <spb s="1">
      <v>68</v>
      <v>68</v>
      <v>68</v>
      <v>68</v>
      <v>68</v>
      <v>69</v>
      <v>68</v>
      <v>2</v>
      <v>68</v>
      <v>68</v>
    </spb>
    <spb s="2">
      <v>2</v>
      <v>Name</v>
      <v>LearnMoreOnLink</v>
    </spb>
    <spb s="10">
      <v>1</v>
    </spb>
    <spb s="0">
      <v xml:space="preserve">Wikipedia	</v>
      <v xml:space="preserve">CC BY-SA 3.0	</v>
      <v xml:space="preserve">https://en.wikipedia.org/wiki/Nari%C3%B1o_Department	</v>
      <v xml:space="preserve">https://creativecommons.org/licenses/by-sa/3.0	</v>
    </spb>
    <spb s="0">
      <v xml:space="preserve">Wikipedia	</v>
      <v xml:space="preserve">CC-BY-SA	</v>
      <v xml:space="preserve">http://en.wikipedia.org/wiki/Nariño_Department	</v>
      <v xml:space="preserve">http://creativecommons.org/licenses/by-sa/3.0/	</v>
    </spb>
    <spb s="1">
      <v>73</v>
      <v>73</v>
      <v>74</v>
      <v>73</v>
      <v>73</v>
      <v>74</v>
      <v>73</v>
      <v>2</v>
      <v>73</v>
      <v>73</v>
    </spb>
    <spb s="0">
      <v xml:space="preserve">Wikipedia	</v>
      <v xml:space="preserve">CC BY-SA 3.0	</v>
      <v xml:space="preserve">https://en.wikipedia.org/wiki/Norte_de_Santander_Department	</v>
      <v xml:space="preserve">https://creativecommons.org/licenses/by-sa/3.0	</v>
    </spb>
    <spb s="0">
      <v xml:space="preserve">Wikipedia	</v>
      <v xml:space="preserve">CC-BY-SA	</v>
      <v xml:space="preserve">http://en.wikipedia.org/wiki/Norte_de_Santander_Department	</v>
      <v xml:space="preserve">http://creativecommons.org/licenses/by-sa/3.0/	</v>
    </spb>
    <spb s="1">
      <v>76</v>
      <v>76</v>
      <v>76</v>
      <v>76</v>
      <v>76</v>
      <v>77</v>
      <v>76</v>
      <v>2</v>
      <v>76</v>
      <v>76</v>
    </spb>
    <spb s="0">
      <v xml:space="preserve">Wikipedia	</v>
      <v xml:space="preserve">CC BY-SA 3.0	</v>
      <v xml:space="preserve">https://en.wikipedia.org/wiki/Putumayo_Department	</v>
      <v xml:space="preserve">https://creativecommons.org/licenses/by-sa/3.0	</v>
    </spb>
    <spb s="0">
      <v xml:space="preserve">Wikipedia	</v>
      <v xml:space="preserve">CC-BY-SA	</v>
      <v xml:space="preserve">http://en.wikipedia.org/wiki/Putumayo_Department	</v>
      <v xml:space="preserve">http://creativecommons.org/licenses/by-sa/3.0/	</v>
    </spb>
    <spb s="9">
      <v>79</v>
      <v>79</v>
      <v>79</v>
      <v>79</v>
      <v>79</v>
      <v>80</v>
      <v>2</v>
      <v>79</v>
      <v>79</v>
    </spb>
    <spb s="0">
      <v xml:space="preserve">Wikipedia	</v>
      <v xml:space="preserve">CC BY-SA 3.0	</v>
      <v xml:space="preserve">https://en.wikipedia.org/wiki/Quind%C3%ADo_Department	</v>
      <v xml:space="preserve">https://creativecommons.org/licenses/by-sa/3.0	</v>
    </spb>
    <spb s="0">
      <v xml:space="preserve">Wikipedia	</v>
      <v xml:space="preserve">CC-BY-SA	</v>
      <v xml:space="preserve">http://en.wikipedia.org/wiki/Quindío_Department	</v>
      <v xml:space="preserve">http://creativecommons.org/licenses/by-sa/3.0/	</v>
    </spb>
    <spb s="1">
      <v>82</v>
      <v>82</v>
      <v>82</v>
      <v>82</v>
      <v>82</v>
      <v>83</v>
      <v>82</v>
      <v>2</v>
      <v>82</v>
      <v>82</v>
    </spb>
    <spb s="0">
      <v xml:space="preserve">Wikipedia	</v>
      <v xml:space="preserve">CC BY-SA 3.0	</v>
      <v xml:space="preserve">https://en.wikipedia.org/wiki/Risaralda_Department	</v>
      <v xml:space="preserve">https://creativecommons.org/licenses/by-sa/3.0	</v>
    </spb>
    <spb s="0">
      <v xml:space="preserve">Wikipedia	</v>
      <v xml:space="preserve">CC-BY-SA	</v>
      <v xml:space="preserve">http://en.wikipedia.org/wiki/Risaralda_Department	</v>
      <v xml:space="preserve">http://creativecommons.org/licenses/by-sa/3.0/	</v>
    </spb>
    <spb s="1">
      <v>85</v>
      <v>85</v>
      <v>85</v>
      <v>85</v>
      <v>85</v>
      <v>86</v>
      <v>85</v>
      <v>2</v>
      <v>85</v>
      <v>85</v>
    </spb>
    <spb s="0">
      <v xml:space="preserve">Wikipedia	</v>
      <v xml:space="preserve">CC BY-SA 3.0	</v>
      <v xml:space="preserve">https://en.wikipedia.org/wiki/Archipelago_of_San_Andr%C3%A9s,_Providencia_and_Santa_Catalina	</v>
      <v xml:space="preserve">https://creativecommons.org/licenses/by-sa/3.0	</v>
    </spb>
    <spb s="0">
      <v xml:space="preserve">Wikipedia	</v>
      <v xml:space="preserve">CC-BY-SA	</v>
      <v xml:space="preserve">http://en.wikipedia.org/wiki/Archipelago_of_San_Andrés,_Providencia_and_Santa_Catalina	</v>
      <v xml:space="preserve">http://creativecommons.org/licenses/by-sa/3.0/	</v>
    </spb>
    <spb s="9">
      <v>88</v>
      <v>88</v>
      <v>88</v>
      <v>88</v>
      <v>88</v>
      <v>89</v>
      <v>2</v>
      <v>88</v>
      <v>88</v>
    </spb>
    <spb s="2">
      <v>3</v>
      <v>Name</v>
      <v>LearnMoreOnLink</v>
    </spb>
    <spb s="0">
      <v xml:space="preserve">Wikipedia	</v>
      <v xml:space="preserve">CC BY-SA 3.0	</v>
      <v xml:space="preserve">https://en.wikipedia.org/wiki/Santander_Department	</v>
      <v xml:space="preserve">https://creativecommons.org/licenses/by-sa/3.0	</v>
    </spb>
    <spb s="0">
      <v xml:space="preserve">Wikipedia	</v>
      <v xml:space="preserve">CC-BY-SA	</v>
      <v xml:space="preserve">http://en.wikipedia.org/wiki/Santander_Department	</v>
      <v xml:space="preserve">http://creativecommons.org/licenses/by-sa/3.0/	</v>
    </spb>
    <spb s="1">
      <v>92</v>
      <v>92</v>
      <v>92</v>
      <v>92</v>
      <v>92</v>
      <v>93</v>
      <v>92</v>
      <v>2</v>
      <v>92</v>
      <v>92</v>
    </spb>
    <spb s="0">
      <v xml:space="preserve">Wikipedia	</v>
      <v xml:space="preserve">CC BY-SA 3.0	</v>
      <v xml:space="preserve">https://en.wikipedia.org/wiki/Sucre_Department	</v>
      <v xml:space="preserve">https://creativecommons.org/licenses/by-sa/3.0	</v>
    </spb>
    <spb s="0">
      <v xml:space="preserve">Wikipedia	</v>
      <v xml:space="preserve">CC-BY-SA	</v>
      <v xml:space="preserve">http://en.wikipedia.org/wiki/Sucre_Department	</v>
      <v xml:space="preserve">http://creativecommons.org/licenses/by-sa/3.0/	</v>
    </spb>
    <spb s="1">
      <v>95</v>
      <v>95</v>
      <v>95</v>
      <v>95</v>
      <v>95</v>
      <v>96</v>
      <v>95</v>
      <v>2</v>
      <v>95</v>
      <v>95</v>
    </spb>
    <spb s="0">
      <v xml:space="preserve">Wikipedia	</v>
      <v xml:space="preserve">CC BY-SA 3.0	</v>
      <v xml:space="preserve">https://en.wikipedia.org/wiki/Tolima_Department	</v>
      <v xml:space="preserve">https://creativecommons.org/licenses/by-sa/3.0	</v>
    </spb>
    <spb s="0">
      <v xml:space="preserve">Wikipedia	</v>
      <v xml:space="preserve">CC-BY-SA	</v>
      <v xml:space="preserve">http://en.wikipedia.org/wiki/Tolima_Department	</v>
      <v xml:space="preserve">http://creativecommons.org/licenses/by-sa/3.0/	</v>
    </spb>
    <spb s="1">
      <v>98</v>
      <v>98</v>
      <v>98</v>
      <v>98</v>
      <v>98</v>
      <v>99</v>
      <v>98</v>
      <v>2</v>
      <v>98</v>
      <v>98</v>
    </spb>
    <spb s="0">
      <v xml:space="preserve">Wikipedia	</v>
      <v xml:space="preserve">CC BY-SA 3.0	</v>
      <v xml:space="preserve">https://en.wikipedia.org/wiki/Valle_del_Cauca_Department	</v>
      <v xml:space="preserve">https://creativecommons.org/licenses/by-sa/3.0	</v>
    </spb>
    <spb s="0">
      <v xml:space="preserve">Wikipedia	</v>
      <v xml:space="preserve">CC-BY-SA	</v>
      <v xml:space="preserve">http://en.wikipedia.org/wiki/Valle_del_Cauca_Department	</v>
      <v xml:space="preserve">http://creativecommons.org/licenses/by-sa/3.0/	</v>
    </spb>
    <spb s="1">
      <v>101</v>
      <v>101</v>
      <v>101</v>
      <v>101</v>
      <v>101</v>
      <v>102</v>
      <v>101</v>
      <v>2</v>
      <v>101</v>
      <v>101</v>
    </spb>
    <spb s="0">
      <v xml:space="preserve">Wikipedia	</v>
      <v xml:space="preserve">CC BY-SA 3.0	</v>
      <v xml:space="preserve">https://en.wikipedia.org/wiki/Vaup%C3%A9s_Department	</v>
      <v xml:space="preserve">https://creativecommons.org/licenses/by-sa/3.0	</v>
    </spb>
    <spb s="0">
      <v xml:space="preserve">Wikipedia	</v>
      <v xml:space="preserve">CC-BY-SA	</v>
      <v xml:space="preserve">http://en.wikipedia.org/wiki/Vaupés_Department	</v>
      <v xml:space="preserve">http://creativecommons.org/licenses/by-sa/3.0/	</v>
    </spb>
    <spb s="1">
      <v>104</v>
      <v>104</v>
      <v>104</v>
      <v>104</v>
      <v>104</v>
      <v>105</v>
      <v>104</v>
      <v>2</v>
      <v>104</v>
      <v>104</v>
    </spb>
    <spb s="0">
      <v xml:space="preserve">Wikipedia	</v>
      <v xml:space="preserve">CC BY-SA 3.0	</v>
      <v xml:space="preserve">https://en.wikipedia.org/wiki/Vichada_Department	</v>
      <v xml:space="preserve">https://creativecommons.org/licenses/by-sa/3.0	</v>
    </spb>
    <spb s="0">
      <v xml:space="preserve">Wikipedia	</v>
      <v xml:space="preserve">CC-BY-SA	</v>
      <v xml:space="preserve">http://en.wikipedia.org/wiki/Vichada_Department	</v>
      <v xml:space="preserve">http://creativecommons.org/licenses/by-sa/3.0/	</v>
    </spb>
    <spb s="9">
      <v>107</v>
      <v>107</v>
      <v>107</v>
      <v>107</v>
      <v>107</v>
      <v>108</v>
      <v>2</v>
      <v>107</v>
      <v>107</v>
    </spb>
  </spbData>
</supportingPropertyBags>
</file>

<file path=xl/richData/rdsupportingpropertybagstructure.xml><?xml version="1.0" encoding="utf-8"?>
<spbStructures xmlns="http://schemas.microsoft.com/office/spreadsheetml/2017/richdata2" count="11">
  <s>
    <k n="SourceText" t="s"/>
    <k n="LicenseText" t="s"/>
    <k n="SourceAddress" t="s"/>
    <k n="LicenseAddress" t="s"/>
  </s>
  <s>
    <k n="Area" t="spb"/>
    <k n="Name" t="spb"/>
    <k n="Population" t="spb"/>
    <k n="UniqueName" t="spb"/>
    <k n="Description" t="spb"/>
    <k n="Abbreviation" t="spb"/>
    <k n="Largest city" t="spb"/>
    <k n="Housing units" t="spb"/>
    <k n="Country/region" t="spb"/>
    <k n="Capital/Major City" t="spb"/>
  </s>
  <s>
    <k n="^Order" t="spba"/>
    <k n="TitleProperty" t="s"/>
    <k n="SubTitleProperty" t="s"/>
  </s>
  <s>
    <k n="ShowInCardView" t="b"/>
    <k n="ShowInDotNotation" t="b"/>
    <k n="ShowInAutoComplete" t="b"/>
  </s>
  <s>
    <k n="UniqueName" t="spb"/>
    <k n="VDPID/VSID" t="spb"/>
    <k n="LearnMoreOnLink" t="spb"/>
  </s>
  <s>
    <k n="Name" t="i"/>
    <k n="Image" t="i"/>
  </s>
  <s>
    <k n="link" t="s"/>
    <k n="logo" t="s"/>
    <k n="name" t="s"/>
  </s>
  <s>
    <k n="Area" t="s"/>
    <k n="Population" t="s"/>
    <k n="Housing units" t="s"/>
  </s>
  <s>
    <k n="_Self" t="i"/>
  </s>
  <s>
    <k n="Area" t="spb"/>
    <k n="Name" t="spb"/>
    <k n="Population" t="spb"/>
    <k n="UniqueName" t="spb"/>
    <k n="Description" t="spb"/>
    <k n="Abbreviation" t="spb"/>
    <k n="Housing units" t="spb"/>
    <k n="Country/region" t="spb"/>
    <k n="Capital/Major City" t="spb"/>
  </s>
  <s>
    <k n="Nam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3" formatCode="#,##0"/>
    </x:dxf>
  </dxfs>
  <richProperties>
    <rPr n="IsTitleField" t="b"/>
    <rPr n="IsHeroField" t="b"/>
    <rPr n="NumberFormat" t="s"/>
  </richProperties>
  <richStyles>
    <rSty>
      <rpv i="0">1</rpv>
    </rSty>
    <rSty>
      <rpv i="1">1</rpv>
    </rSty>
    <rSty dxfid="0">
      <rpv i="2">#,##0</rpv>
    </rSty>
  </richStyles>
</richStyleSheet>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F2CD5-624B-4C6F-A832-B8F5413C9EDD}">
  <sheetPr codeName="Hoja5"/>
  <dimension ref="A1:H24"/>
  <sheetViews>
    <sheetView showGridLines="0" workbookViewId="0">
      <selection activeCell="B2" sqref="B2"/>
    </sheetView>
  </sheetViews>
  <sheetFormatPr baseColWidth="10" defaultRowHeight="15" x14ac:dyDescent="0.25"/>
  <cols>
    <col min="1" max="1" width="55.28515625" customWidth="1"/>
    <col min="2" max="2" width="48.42578125" bestFit="1" customWidth="1"/>
    <col min="3" max="3" width="15.42578125" customWidth="1"/>
    <col min="4" max="4" width="41" customWidth="1"/>
  </cols>
  <sheetData>
    <row r="1" spans="1:8" ht="16.5" x14ac:dyDescent="0.3">
      <c r="A1" s="45" t="s">
        <v>168</v>
      </c>
      <c r="B1" s="45"/>
      <c r="C1" s="22"/>
      <c r="D1" s="23" t="s">
        <v>171</v>
      </c>
    </row>
    <row r="2" spans="1:8" ht="16.5" x14ac:dyDescent="0.3">
      <c r="A2" s="24" t="s">
        <v>1</v>
      </c>
      <c r="B2" s="25" t="s">
        <v>33</v>
      </c>
      <c r="C2" s="22"/>
      <c r="D2" s="26" t="s">
        <v>172</v>
      </c>
    </row>
    <row r="3" spans="1:8" ht="16.5" x14ac:dyDescent="0.3">
      <c r="A3" s="24" t="s">
        <v>108</v>
      </c>
      <c r="B3" s="27" t="str">
        <f>VLOOKUP(B2,'Base Inicial'!$B:$J,4,0)</f>
        <v>NATALIA GARCIA</v>
      </c>
      <c r="C3" s="22"/>
      <c r="D3" s="28" t="s">
        <v>173</v>
      </c>
    </row>
    <row r="4" spans="1:8" ht="16.5" x14ac:dyDescent="0.3">
      <c r="A4" s="24" t="s">
        <v>6</v>
      </c>
      <c r="B4" s="27" t="str">
        <f>VLOOKUP(B2,'Base Inicial'!$B:$J,7,0)</f>
        <v>CAUCA</v>
      </c>
      <c r="C4" s="22"/>
      <c r="D4" s="22"/>
    </row>
    <row r="5" spans="1:8" ht="16.5" x14ac:dyDescent="0.3">
      <c r="A5" s="24" t="s">
        <v>0</v>
      </c>
      <c r="B5" s="29">
        <f>VLOOKUP(B2,CHOOSE({1,2},'Base Inicial'!$B:$B,'Base Inicial'!$A:$A),2,0)</f>
        <v>471</v>
      </c>
      <c r="C5" s="22"/>
      <c r="D5" s="22"/>
    </row>
    <row r="6" spans="1:8" ht="16.5" x14ac:dyDescent="0.3">
      <c r="A6" s="24" t="s">
        <v>2</v>
      </c>
      <c r="B6" s="27" t="str">
        <f>VLOOKUP(B2,'Base Inicial'!$B:$J,2,0)</f>
        <v>No Étnico</v>
      </c>
      <c r="C6" s="22"/>
      <c r="D6" s="22"/>
    </row>
    <row r="7" spans="1:8" ht="16.5" x14ac:dyDescent="0.3">
      <c r="A7" s="22"/>
      <c r="B7" s="22"/>
      <c r="C7" s="22"/>
      <c r="D7" s="22"/>
    </row>
    <row r="8" spans="1:8" ht="16.5" x14ac:dyDescent="0.3">
      <c r="A8" s="24" t="s">
        <v>169</v>
      </c>
      <c r="B8" s="24" t="s">
        <v>170</v>
      </c>
      <c r="C8" s="24" t="s">
        <v>176</v>
      </c>
      <c r="D8" s="22"/>
      <c r="H8" s="21"/>
    </row>
    <row r="9" spans="1:8" ht="16.5" x14ac:dyDescent="0.3">
      <c r="A9" s="30" t="s">
        <v>9</v>
      </c>
      <c r="B9" s="31">
        <v>45275</v>
      </c>
      <c r="C9" s="32" t="s">
        <v>204</v>
      </c>
      <c r="D9" s="22"/>
    </row>
    <row r="10" spans="1:8" ht="16.5" x14ac:dyDescent="0.3">
      <c r="A10" s="30" t="s">
        <v>10</v>
      </c>
      <c r="B10" s="31">
        <v>45278</v>
      </c>
      <c r="C10" s="32"/>
      <c r="D10" s="22"/>
    </row>
    <row r="11" spans="1:8" ht="16.5" x14ac:dyDescent="0.3">
      <c r="A11" s="30" t="s">
        <v>195</v>
      </c>
      <c r="B11" s="38">
        <v>45280</v>
      </c>
      <c r="C11" s="32" t="s">
        <v>204</v>
      </c>
      <c r="D11" s="22"/>
    </row>
    <row r="12" spans="1:8" ht="16.5" x14ac:dyDescent="0.3">
      <c r="A12" s="30" t="s">
        <v>11</v>
      </c>
      <c r="B12" s="31">
        <v>45283</v>
      </c>
      <c r="C12" s="32"/>
      <c r="D12" s="22"/>
    </row>
    <row r="13" spans="1:8" ht="16.5" x14ac:dyDescent="0.3">
      <c r="A13" s="30" t="s">
        <v>12</v>
      </c>
      <c r="B13" s="31">
        <v>0</v>
      </c>
      <c r="C13" s="32"/>
      <c r="D13" s="22"/>
    </row>
    <row r="14" spans="1:8" ht="16.5" x14ac:dyDescent="0.3">
      <c r="D14" s="22"/>
    </row>
    <row r="22" spans="1:1" x14ac:dyDescent="0.25">
      <c r="A22" s="39" t="s">
        <v>194</v>
      </c>
    </row>
    <row r="23" spans="1:1" x14ac:dyDescent="0.25">
      <c r="A23" s="39" t="s">
        <v>177</v>
      </c>
    </row>
    <row r="24" spans="1:1" x14ac:dyDescent="0.25">
      <c r="A24" s="39" t="s">
        <v>179</v>
      </c>
    </row>
  </sheetData>
  <autoFilter ref="A1:B5" xr:uid="{B6CF2CD5-624B-4C6F-A832-B8F5413C9EDD}">
    <filterColumn colId="0" showButton="0"/>
  </autoFilter>
  <mergeCells count="1">
    <mergeCell ref="A1:B1"/>
  </mergeCells>
  <dataValidations count="2">
    <dataValidation type="list" allowBlank="1" showInputMessage="1" showErrorMessage="1" sqref="B2" xr:uid="{291F8D56-D52D-45CF-AB0C-5379EA64F90F}">
      <formula1>Sujeto</formula1>
    </dataValidation>
    <dataValidation type="list" allowBlank="1" showInputMessage="1" showErrorMessage="1" sqref="C9:C13" xr:uid="{5C0A3BDA-B563-477C-A9A1-5E18E2B8DF7A}">
      <formula1>"Si,No"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busqueda">
                <anchor moveWithCells="1" sizeWithCells="1">
                  <from>
                    <xdr:col>0</xdr:col>
                    <xdr:colOff>1323975</xdr:colOff>
                    <xdr:row>14</xdr:row>
                    <xdr:rowOff>38100</xdr:rowOff>
                  </from>
                  <to>
                    <xdr:col>0</xdr:col>
                    <xdr:colOff>2943225</xdr:colOff>
                    <xdr:row>15</xdr:row>
                    <xdr:rowOff>152400</xdr:rowOff>
                  </to>
                </anchor>
              </controlPr>
            </control>
          </mc:Choice>
        </mc:AlternateContent>
        <mc:AlternateContent xmlns:mc="http://schemas.openxmlformats.org/markup-compatibility/2006">
          <mc:Choice Requires="x14">
            <control shapeId="5124" r:id="rId4" name="Button 4">
              <controlPr defaultSize="0" print="0" autoFill="0" autoPict="0" macro="[0]!act_mod">
                <anchor moveWithCells="1" sizeWithCells="1">
                  <from>
                    <xdr:col>1</xdr:col>
                    <xdr:colOff>752475</xdr:colOff>
                    <xdr:row>14</xdr:row>
                    <xdr:rowOff>19050</xdr:rowOff>
                  </from>
                  <to>
                    <xdr:col>1</xdr:col>
                    <xdr:colOff>2371725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C977C-1D5A-4BD0-B420-293E8B0F7980}">
  <sheetPr codeName="Hoja6"/>
  <dimension ref="A1:XFD71"/>
  <sheetViews>
    <sheetView showGridLines="0" zoomScale="90" zoomScaleNormal="90" workbookViewId="0">
      <selection activeCell="C22" sqref="C22"/>
    </sheetView>
  </sheetViews>
  <sheetFormatPr baseColWidth="10" defaultRowHeight="15" x14ac:dyDescent="0.25"/>
  <cols>
    <col min="1" max="1" width="39.42578125" bestFit="1" customWidth="1"/>
    <col min="2" max="2" width="15.28515625" bestFit="1" customWidth="1"/>
    <col min="16371" max="16371" width="20.5703125" bestFit="1" customWidth="1"/>
  </cols>
  <sheetData>
    <row r="1" spans="1:4 16378:16384" x14ac:dyDescent="0.25">
      <c r="XEX1" t="str">
        <f t="shared" ref="XEX1:XEX20" si="0">A8</f>
        <v>RESGUARDO DE AGUA NEGRA</v>
      </c>
      <c r="XEY1" t="str">
        <f>IFERROR(VLOOKUP(XEX1,'Base Inicial'!$B:$J,2,0),"")</f>
        <v>Étnico</v>
      </c>
      <c r="XEZ1" t="str">
        <f>IFERROR(VLOOKUP(XEX1,'Base Inicial'!$B:$J,3,0),"")</f>
        <v>Diseño y Formulación</v>
      </c>
      <c r="XFA1" t="str">
        <f>IFERROR(PROPER(VLOOKUP(XEX1,'Base Inicial'!$B:$J,5,0)),"")</f>
        <v>Cauca</v>
      </c>
      <c r="XFB1" s="40">
        <f>C8</f>
        <v>0</v>
      </c>
      <c r="XFC1" t="s">
        <v>119</v>
      </c>
      <c r="XFD1" s="33">
        <f>COUNTIF(XEY1:XEY20,XFC1)/(20-COUNTIF(XEY1:XEY20,""))</f>
        <v>1</v>
      </c>
    </row>
    <row r="2" spans="1:4 16378:16384" ht="16.5" x14ac:dyDescent="0.3">
      <c r="A2" s="24" t="s">
        <v>108</v>
      </c>
      <c r="B2" s="46" t="s">
        <v>178</v>
      </c>
      <c r="C2" s="47"/>
      <c r="XEX2">
        <f t="shared" si="0"/>
        <v>0</v>
      </c>
      <c r="XEY2" t="str">
        <f>IFERROR(VLOOKUP(XEX2,'Base Inicial'!$B:$J,2,0),"")</f>
        <v/>
      </c>
      <c r="XEZ2" t="str">
        <f>IFERROR(VLOOKUP(XEX2,'Base Inicial'!$B:$J,3,0),"")</f>
        <v/>
      </c>
      <c r="XFA2" t="str">
        <f>IFERROR(PROPER(VLOOKUP(XEX2,'Base Inicial'!$B:$J,5,0)),"")</f>
        <v/>
      </c>
      <c r="XFB2" s="40">
        <f t="shared" ref="XFB2:XFB20" si="1">C9</f>
        <v>0</v>
      </c>
      <c r="XFC2" t="s">
        <v>14</v>
      </c>
      <c r="XFD2" s="33">
        <f>COUNTIF(XEY1:XEY20,XFC2)/(20-COUNTIF(XEY1:XEY20,""))</f>
        <v>0</v>
      </c>
    </row>
    <row r="3" spans="1:4 16378:16384" ht="16.5" x14ac:dyDescent="0.3">
      <c r="A3" s="24" t="s">
        <v>197</v>
      </c>
      <c r="B3" s="48">
        <f>COUNTA($A$8:$A$28)</f>
        <v>1</v>
      </c>
      <c r="C3" s="49"/>
      <c r="XEX3">
        <f t="shared" si="0"/>
        <v>0</v>
      </c>
      <c r="XEY3" t="str">
        <f>IFERROR(VLOOKUP(XEX3,'Base Inicial'!$B:$J,2,0),"")</f>
        <v/>
      </c>
      <c r="XEZ3" t="str">
        <f>IFERROR(VLOOKUP(XEX3,'Base Inicial'!$B:$J,3,0),"")</f>
        <v/>
      </c>
      <c r="XFA3" t="str">
        <f>IFERROR(PROPER(VLOOKUP(XEX3,'Base Inicial'!$B:$J,5,0)),"")</f>
        <v/>
      </c>
      <c r="XFB3" s="40">
        <f t="shared" si="1"/>
        <v>0</v>
      </c>
    </row>
    <row r="4" spans="1:4 16378:16384" ht="16.5" x14ac:dyDescent="0.3">
      <c r="A4" s="24" t="s">
        <v>198</v>
      </c>
      <c r="B4" s="50">
        <f>AVERAGE($C$8:$C$28)</f>
        <v>0</v>
      </c>
      <c r="C4" s="49"/>
      <c r="XEX4">
        <f t="shared" si="0"/>
        <v>0</v>
      </c>
      <c r="XEY4" t="str">
        <f>IFERROR(VLOOKUP(XEX4,'Base Inicial'!$B:$J,2,0),"")</f>
        <v/>
      </c>
      <c r="XEZ4" t="str">
        <f>IFERROR(VLOOKUP(XEX4,'Base Inicial'!$B:$J,3,0),"")</f>
        <v/>
      </c>
      <c r="XFA4" t="str">
        <f>IFERROR(PROPER(VLOOKUP(XEX4,'Base Inicial'!$B:$J,5,0)),"")</f>
        <v/>
      </c>
      <c r="XFB4" s="40">
        <f t="shared" si="1"/>
        <v>0</v>
      </c>
      <c r="XFC4" t="s">
        <v>199</v>
      </c>
      <c r="XFD4" s="33">
        <f>COUNTIF($XEZ$1:$XEZ$20,XFC4)/(20-COUNTIF($XEY$1:$XEY$20,""))</f>
        <v>0</v>
      </c>
    </row>
    <row r="5" spans="1:4 16378:16384" x14ac:dyDescent="0.25">
      <c r="XEX5">
        <f t="shared" si="0"/>
        <v>0</v>
      </c>
      <c r="XEY5" t="str">
        <f>IFERROR(VLOOKUP(XEX5,'Base Inicial'!$B:$J,2,0),"")</f>
        <v/>
      </c>
      <c r="XEZ5" t="str">
        <f>IFERROR(VLOOKUP(XEX5,'Base Inicial'!$B:$J,3,0),"")</f>
        <v/>
      </c>
      <c r="XFA5" t="str">
        <f>IFERROR(PROPER(VLOOKUP(XEX5,'Base Inicial'!$B:$J,5,0)),"")</f>
        <v/>
      </c>
      <c r="XFB5" s="40">
        <f t="shared" si="1"/>
        <v>0</v>
      </c>
      <c r="XFC5" t="s">
        <v>200</v>
      </c>
      <c r="XFD5" s="33">
        <f t="shared" ref="XFD5:XFD8" si="2">COUNTIF($XEZ$1:$XEZ$20,XFC5)/(20-COUNTIF($XEY$1:$XEY$20,""))</f>
        <v>0</v>
      </c>
    </row>
    <row r="6" spans="1:4 16378:16384" x14ac:dyDescent="0.25">
      <c r="XEX6">
        <f t="shared" si="0"/>
        <v>0</v>
      </c>
      <c r="XEY6" t="str">
        <f>IFERROR(VLOOKUP(XEX6,'Base Inicial'!$B:$J,2,0),"")</f>
        <v/>
      </c>
      <c r="XEZ6" t="str">
        <f>IFERROR(VLOOKUP(XEX6,'Base Inicial'!$B:$J,3,0),"")</f>
        <v/>
      </c>
      <c r="XFA6" t="str">
        <f>IFERROR(PROPER(VLOOKUP(XEX6,'Base Inicial'!$B:$J,5,0)),"")</f>
        <v/>
      </c>
      <c r="XFB6" s="40">
        <f t="shared" si="1"/>
        <v>0</v>
      </c>
      <c r="XFC6" t="s">
        <v>201</v>
      </c>
      <c r="XFD6" s="33">
        <f t="shared" si="2"/>
        <v>0</v>
      </c>
    </row>
    <row r="7" spans="1:4 16378:16384" x14ac:dyDescent="0.25">
      <c r="A7" s="24" t="s">
        <v>1</v>
      </c>
      <c r="B7" s="24" t="s">
        <v>174</v>
      </c>
      <c r="C7" s="24" t="s">
        <v>175</v>
      </c>
      <c r="XEX7">
        <f t="shared" si="0"/>
        <v>0</v>
      </c>
      <c r="XEY7" t="str">
        <f>IFERROR(VLOOKUP(XEX7,'Base Inicial'!$B:$J,2,0),"")</f>
        <v/>
      </c>
      <c r="XEZ7" t="str">
        <f>IFERROR(VLOOKUP(XEX7,'Base Inicial'!$B:$J,3,0),"")</f>
        <v/>
      </c>
      <c r="XFA7" t="str">
        <f>IFERROR(PROPER(VLOOKUP(XEX7,'Base Inicial'!$B:$J,5,0)),"")</f>
        <v/>
      </c>
      <c r="XFB7" s="40">
        <f t="shared" si="1"/>
        <v>0</v>
      </c>
      <c r="XFC7" t="s">
        <v>202</v>
      </c>
      <c r="XFD7" s="33">
        <f t="shared" si="2"/>
        <v>0</v>
      </c>
    </row>
    <row r="8" spans="1:4 16378:16384" ht="16.5" x14ac:dyDescent="0.3">
      <c r="A8" t="s">
        <v>127</v>
      </c>
      <c r="B8" s="44" t="str">
        <f>REPT("|",C8*100)</f>
        <v/>
      </c>
      <c r="C8" s="42">
        <f>COUNTIFS('Base Salida'!$C:$C,$B$2,'Base Salida'!$B:$B,A8,'Base Salida'!$G:$G,"Si")/COUNTIFS('Base Salida'!$C:$C,$B$2,'Base Salida'!B:B,A8)</f>
        <v>0</v>
      </c>
      <c r="D8" s="41"/>
      <c r="XEX8">
        <f t="shared" si="0"/>
        <v>0</v>
      </c>
      <c r="XEY8" t="str">
        <f>IFERROR(VLOOKUP(XEX8,'Base Inicial'!$B:$J,2,0),"")</f>
        <v/>
      </c>
      <c r="XEZ8" t="str">
        <f>IFERROR(VLOOKUP(XEX8,'Base Inicial'!$B:$J,3,0),"")</f>
        <v/>
      </c>
      <c r="XFA8" t="str">
        <f>IFERROR(PROPER(VLOOKUP(XEX8,'Base Inicial'!$B:$J,5,0)),"")</f>
        <v/>
      </c>
      <c r="XFB8" s="40">
        <f t="shared" si="1"/>
        <v>0</v>
      </c>
      <c r="XFC8" t="s">
        <v>203</v>
      </c>
      <c r="XFD8" s="33">
        <f t="shared" si="2"/>
        <v>1</v>
      </c>
    </row>
    <row r="9" spans="1:4 16378:16384" ht="16.5" x14ac:dyDescent="0.3">
      <c r="B9" s="43"/>
      <c r="C9" s="42"/>
      <c r="XEX9">
        <f t="shared" si="0"/>
        <v>0</v>
      </c>
      <c r="XEY9" t="str">
        <f>IFERROR(VLOOKUP(XEX9,'Base Inicial'!$B:$J,2,0),"")</f>
        <v/>
      </c>
      <c r="XEZ9" t="str">
        <f>IFERROR(VLOOKUP(XEX9,'Base Inicial'!$B:$J,3,0),"")</f>
        <v/>
      </c>
      <c r="XFA9" t="str">
        <f>IFERROR(PROPER(VLOOKUP(XEX9,'Base Inicial'!$B:$J,5,0)),"")</f>
        <v/>
      </c>
      <c r="XFB9" s="40">
        <f t="shared" si="1"/>
        <v>0</v>
      </c>
    </row>
    <row r="10" spans="1:4 16378:16384" ht="16.5" x14ac:dyDescent="0.3">
      <c r="B10" s="43"/>
      <c r="C10" s="42"/>
      <c r="XEX10">
        <f t="shared" si="0"/>
        <v>0</v>
      </c>
      <c r="XEY10" t="str">
        <f>IFERROR(VLOOKUP(XEX10,'Base Inicial'!$B:$J,2,0),"")</f>
        <v/>
      </c>
      <c r="XEZ10" t="str">
        <f>IFERROR(VLOOKUP(XEX10,'Base Inicial'!$B:$J,3,0),"")</f>
        <v/>
      </c>
      <c r="XFA10" t="str">
        <f>IFERROR(PROPER(VLOOKUP(XEX10,'Base Inicial'!$B:$J,5,0)),"")</f>
        <v/>
      </c>
      <c r="XFB10" s="40">
        <f t="shared" si="1"/>
        <v>0</v>
      </c>
      <c r="XFC10" t="e" vm="1">
        <v>#VALUE!</v>
      </c>
      <c r="XFD10" s="33" t="str">
        <f>IFERROR(AVERAGEIF($XFA$1:$XFA$20,VLOOKUP(XFC10,$XFC$46:$XFD$64,2,0),$XFB$1:$XFB$20),"")</f>
        <v/>
      </c>
    </row>
    <row r="11" spans="1:4 16378:16384" ht="16.5" x14ac:dyDescent="0.3">
      <c r="B11" s="43"/>
      <c r="C11" s="42"/>
      <c r="XEX11">
        <f t="shared" si="0"/>
        <v>0</v>
      </c>
      <c r="XEY11" t="str">
        <f>IFERROR(VLOOKUP(XEX11,'Base Inicial'!$B:$J,2,0),"")</f>
        <v/>
      </c>
      <c r="XEZ11" t="str">
        <f>IFERROR(VLOOKUP(XEX11,'Base Inicial'!$B:$J,3,0),"")</f>
        <v/>
      </c>
      <c r="XFA11" t="str">
        <f>IFERROR(PROPER(VLOOKUP(XEX11,'Base Inicial'!$B:$J,5,0)),"")</f>
        <v/>
      </c>
      <c r="XFB11" s="40">
        <f t="shared" si="1"/>
        <v>0</v>
      </c>
      <c r="XFC11" t="e" vm="2">
        <v>#VALUE!</v>
      </c>
      <c r="XFD11" s="33" t="str">
        <f t="shared" ref="XFD11:XFD41" si="3">IFERROR(AVERAGEIF($XFA$1:$XFA$20,VLOOKUP(XFC11,$XFC$46:$XFD$64,2,0),$XFB$1:$XFB$20),"")</f>
        <v/>
      </c>
    </row>
    <row r="12" spans="1:4 16378:16384" ht="16.5" x14ac:dyDescent="0.3">
      <c r="B12" s="43"/>
      <c r="C12" s="42"/>
      <c r="XEX12">
        <f t="shared" si="0"/>
        <v>0</v>
      </c>
      <c r="XEY12" t="str">
        <f>IFERROR(VLOOKUP(XEX12,'Base Inicial'!$B:$J,2,0),"")</f>
        <v/>
      </c>
      <c r="XEZ12" t="str">
        <f>IFERROR(VLOOKUP(XEX12,'Base Inicial'!$B:$J,3,0),"")</f>
        <v/>
      </c>
      <c r="XFA12" t="str">
        <f>IFERROR(PROPER(VLOOKUP(XEX12,'Base Inicial'!$B:$J,5,0)),"")</f>
        <v/>
      </c>
      <c r="XFB12" s="40">
        <f t="shared" si="1"/>
        <v>0</v>
      </c>
      <c r="XFC12" t="e" vm="3">
        <v>#VALUE!</v>
      </c>
      <c r="XFD12" s="33" t="str">
        <f t="shared" si="3"/>
        <v/>
      </c>
    </row>
    <row r="13" spans="1:4 16378:16384" x14ac:dyDescent="0.25">
      <c r="B13" s="43"/>
      <c r="C13" s="33"/>
      <c r="XEX13">
        <f t="shared" si="0"/>
        <v>0</v>
      </c>
      <c r="XEY13" t="str">
        <f>IFERROR(VLOOKUP(XEX13,'Base Inicial'!$B:$J,2,0),"")</f>
        <v/>
      </c>
      <c r="XEZ13" t="str">
        <f>IFERROR(VLOOKUP(XEX13,'Base Inicial'!$B:$J,3,0),"")</f>
        <v/>
      </c>
      <c r="XFA13" t="str">
        <f>IFERROR(PROPER(VLOOKUP(XEX13,'Base Inicial'!$B:$J,5,0)),"")</f>
        <v/>
      </c>
      <c r="XFB13" s="40">
        <f t="shared" si="1"/>
        <v>0</v>
      </c>
      <c r="XFC13" t="e" vm="4">
        <v>#VALUE!</v>
      </c>
      <c r="XFD13" s="33" t="str">
        <f t="shared" si="3"/>
        <v/>
      </c>
    </row>
    <row r="14" spans="1:4 16378:16384" x14ac:dyDescent="0.25">
      <c r="B14" s="43"/>
      <c r="C14" s="33"/>
      <c r="XEX14">
        <f t="shared" si="0"/>
        <v>0</v>
      </c>
      <c r="XEY14" t="str">
        <f>IFERROR(VLOOKUP(XEX14,'Base Inicial'!$B:$J,2,0),"")</f>
        <v/>
      </c>
      <c r="XEZ14" t="str">
        <f>IFERROR(VLOOKUP(XEX14,'Base Inicial'!$B:$J,3,0),"")</f>
        <v/>
      </c>
      <c r="XFA14" t="str">
        <f>IFERROR(PROPER(VLOOKUP(XEX14,'Base Inicial'!$B:$J,5,0)),"")</f>
        <v/>
      </c>
      <c r="XFB14" s="40">
        <f t="shared" si="1"/>
        <v>0</v>
      </c>
      <c r="XFC14" t="e" vm="5">
        <v>#VALUE!</v>
      </c>
      <c r="XFD14" s="33" t="str">
        <f t="shared" si="3"/>
        <v/>
      </c>
    </row>
    <row r="15" spans="1:4 16378:16384" x14ac:dyDescent="0.25">
      <c r="B15" s="43"/>
      <c r="C15" s="33"/>
      <c r="XEX15">
        <f t="shared" si="0"/>
        <v>0</v>
      </c>
      <c r="XEY15" t="str">
        <f>IFERROR(VLOOKUP(XEX15,'Base Inicial'!$B:$J,2,0),"")</f>
        <v/>
      </c>
      <c r="XEZ15" t="str">
        <f>IFERROR(VLOOKUP(XEX15,'Base Inicial'!$B:$J,3,0),"")</f>
        <v/>
      </c>
      <c r="XFA15" t="str">
        <f>IFERROR(PROPER(VLOOKUP(XEX15,'Base Inicial'!$B:$J,5,0)),"")</f>
        <v/>
      </c>
      <c r="XFB15" s="40">
        <f t="shared" si="1"/>
        <v>0</v>
      </c>
      <c r="XFC15" t="e" vm="6">
        <v>#VALUE!</v>
      </c>
      <c r="XFD15" s="33" t="str">
        <f t="shared" si="3"/>
        <v/>
      </c>
    </row>
    <row r="16" spans="1:4 16378:16384" x14ac:dyDescent="0.25">
      <c r="B16" s="43"/>
      <c r="XEX16">
        <f t="shared" si="0"/>
        <v>0</v>
      </c>
      <c r="XEY16" t="str">
        <f>IFERROR(VLOOKUP(XEX16,'Base Inicial'!$B:$J,2,0),"")</f>
        <v/>
      </c>
      <c r="XEZ16" t="str">
        <f>IFERROR(VLOOKUP(XEX16,'Base Inicial'!$B:$J,3,0),"")</f>
        <v/>
      </c>
      <c r="XFA16" t="str">
        <f>IFERROR(PROPER(VLOOKUP(XEX16,'Base Inicial'!$B:$J,5,0)),"")</f>
        <v/>
      </c>
      <c r="XFB16" s="40">
        <f t="shared" si="1"/>
        <v>0</v>
      </c>
      <c r="XFC16" t="e" vm="7">
        <v>#VALUE!</v>
      </c>
      <c r="XFD16" s="33" t="str">
        <f t="shared" si="3"/>
        <v/>
      </c>
    </row>
    <row r="17" spans="2:2 16378:16384" x14ac:dyDescent="0.25">
      <c r="B17" s="43"/>
      <c r="XEX17">
        <f t="shared" si="0"/>
        <v>0</v>
      </c>
      <c r="XEY17" t="str">
        <f>IFERROR(VLOOKUP(XEX17,'Base Inicial'!$B:$J,2,0),"")</f>
        <v/>
      </c>
      <c r="XEZ17" t="str">
        <f>IFERROR(VLOOKUP(XEX17,'Base Inicial'!$B:$J,3,0),"")</f>
        <v/>
      </c>
      <c r="XFA17" t="str">
        <f>IFERROR(PROPER(VLOOKUP(XEX17,'Base Inicial'!$B:$J,5,0)),"")</f>
        <v/>
      </c>
      <c r="XFB17" s="40">
        <f t="shared" si="1"/>
        <v>0</v>
      </c>
      <c r="XFC17" t="e" vm="8">
        <v>#VALUE!</v>
      </c>
      <c r="XFD17" s="33" t="str">
        <f t="shared" si="3"/>
        <v/>
      </c>
    </row>
    <row r="18" spans="2:2 16378:16384" x14ac:dyDescent="0.25">
      <c r="B18" s="43"/>
      <c r="XEX18">
        <f t="shared" si="0"/>
        <v>0</v>
      </c>
      <c r="XEY18" t="str">
        <f>IFERROR(VLOOKUP(XEX18,'Base Inicial'!$B:$J,2,0),"")</f>
        <v/>
      </c>
      <c r="XEZ18" t="str">
        <f>IFERROR(VLOOKUP(XEX18,'Base Inicial'!$B:$J,3,0),"")</f>
        <v/>
      </c>
      <c r="XFA18" t="str">
        <f>IFERROR(PROPER(VLOOKUP(XEX18,'Base Inicial'!$B:$J,5,0)),"")</f>
        <v/>
      </c>
      <c r="XFB18" s="40">
        <f t="shared" si="1"/>
        <v>0</v>
      </c>
      <c r="XFC18" t="e" vm="9">
        <v>#VALUE!</v>
      </c>
      <c r="XFD18" s="33" t="str">
        <f t="shared" si="3"/>
        <v/>
      </c>
    </row>
    <row r="19" spans="2:2 16378:16384" x14ac:dyDescent="0.25">
      <c r="B19" s="43"/>
      <c r="XEX19">
        <f t="shared" si="0"/>
        <v>0</v>
      </c>
      <c r="XEY19" t="str">
        <f>IFERROR(VLOOKUP(XEX19,'Base Inicial'!$B:$J,2,0),"")</f>
        <v/>
      </c>
      <c r="XEZ19" t="str">
        <f>IFERROR(VLOOKUP(XEX19,'Base Inicial'!$B:$J,3,0),"")</f>
        <v/>
      </c>
      <c r="XFA19" t="str">
        <f>IFERROR(PROPER(VLOOKUP(XEX19,'Base Inicial'!$B:$J,5,0)),"")</f>
        <v/>
      </c>
      <c r="XFB19" s="40">
        <f t="shared" si="1"/>
        <v>0</v>
      </c>
      <c r="XFC19" t="e" vm="10">
        <v>#VALUE!</v>
      </c>
      <c r="XFD19" s="33">
        <f t="shared" si="3"/>
        <v>0</v>
      </c>
    </row>
    <row r="20" spans="2:2 16378:16384" x14ac:dyDescent="0.25">
      <c r="B20" s="43"/>
      <c r="XEX20">
        <f t="shared" si="0"/>
        <v>0</v>
      </c>
      <c r="XEY20" t="str">
        <f>IFERROR(VLOOKUP(XEX20,'Base Inicial'!$B:$J,2,0),"")</f>
        <v/>
      </c>
      <c r="XEZ20" t="str">
        <f>IFERROR(VLOOKUP(XEX20,'Base Inicial'!$B:$J,3,0),"")</f>
        <v/>
      </c>
      <c r="XFA20" t="str">
        <f>IFERROR(PROPER(VLOOKUP(XEX20,'Base Inicial'!$B:$J,5,0)),"")</f>
        <v/>
      </c>
      <c r="XFB20" s="40">
        <f t="shared" si="1"/>
        <v>0</v>
      </c>
      <c r="XFC20" t="e" vm="11">
        <v>#VALUE!</v>
      </c>
      <c r="XFD20" s="33" t="str">
        <f t="shared" si="3"/>
        <v/>
      </c>
    </row>
    <row r="21" spans="2:2 16378:16384" x14ac:dyDescent="0.25">
      <c r="B21" s="43"/>
      <c r="XFC21" t="e" vm="12">
        <v>#VALUE!</v>
      </c>
      <c r="XFD21" s="33" t="str">
        <f t="shared" si="3"/>
        <v/>
      </c>
    </row>
    <row r="22" spans="2:2 16378:16384" x14ac:dyDescent="0.25">
      <c r="B22" s="43"/>
      <c r="XFC22" t="e" vm="13">
        <v>#VALUE!</v>
      </c>
      <c r="XFD22" s="33" t="str">
        <f t="shared" si="3"/>
        <v/>
      </c>
    </row>
    <row r="23" spans="2:2 16378:16384" x14ac:dyDescent="0.25">
      <c r="B23" s="43"/>
      <c r="XFC23" t="e" vm="14">
        <v>#VALUE!</v>
      </c>
      <c r="XFD23" s="33" t="str">
        <f t="shared" si="3"/>
        <v/>
      </c>
    </row>
    <row r="24" spans="2:2 16378:16384" x14ac:dyDescent="0.25">
      <c r="B24" s="43"/>
      <c r="XFC24" t="e" vm="15">
        <v>#VALUE!</v>
      </c>
      <c r="XFD24" s="33" t="str">
        <f t="shared" si="3"/>
        <v/>
      </c>
    </row>
    <row r="25" spans="2:2 16378:16384" x14ac:dyDescent="0.25">
      <c r="B25" s="43"/>
      <c r="XFC25" t="e" vm="16">
        <v>#VALUE!</v>
      </c>
      <c r="XFD25" s="33" t="str">
        <f t="shared" si="3"/>
        <v/>
      </c>
    </row>
    <row r="26" spans="2:2 16378:16384" x14ac:dyDescent="0.25">
      <c r="B26" s="43"/>
      <c r="XFC26" t="e" vm="17">
        <v>#VALUE!</v>
      </c>
      <c r="XFD26" s="33" t="str">
        <f t="shared" si="3"/>
        <v/>
      </c>
    </row>
    <row r="27" spans="2:2 16378:16384" x14ac:dyDescent="0.25">
      <c r="B27" s="43"/>
      <c r="XFC27" t="e" vm="18">
        <v>#VALUE!</v>
      </c>
      <c r="XFD27" s="33" t="str">
        <f t="shared" si="3"/>
        <v/>
      </c>
    </row>
    <row r="28" spans="2:2 16378:16384" x14ac:dyDescent="0.25">
      <c r="B28" s="43"/>
      <c r="XFC28" t="e" vm="19">
        <v>#VALUE!</v>
      </c>
      <c r="XFD28" s="33" t="str">
        <f t="shared" si="3"/>
        <v/>
      </c>
    </row>
    <row r="29" spans="2:2 16378:16384" x14ac:dyDescent="0.25">
      <c r="B29" s="43"/>
      <c r="XFC29" t="e" vm="20">
        <v>#VALUE!</v>
      </c>
      <c r="XFD29" s="33" t="str">
        <f t="shared" si="3"/>
        <v/>
      </c>
    </row>
    <row r="30" spans="2:2 16378:16384" x14ac:dyDescent="0.25">
      <c r="B30" s="43"/>
      <c r="XFC30" t="e" vm="21">
        <v>#VALUE!</v>
      </c>
      <c r="XFD30" s="33" t="str">
        <f t="shared" si="3"/>
        <v/>
      </c>
    </row>
    <row r="31" spans="2:2 16378:16384" x14ac:dyDescent="0.25">
      <c r="B31" s="43"/>
      <c r="XFC31" t="e" vm="22">
        <v>#VALUE!</v>
      </c>
      <c r="XFD31" s="33" t="str">
        <f t="shared" si="3"/>
        <v/>
      </c>
    </row>
    <row r="32" spans="2:2 16378:16384" x14ac:dyDescent="0.25">
      <c r="B32" s="43"/>
      <c r="XFC32" t="e" vm="23">
        <v>#VALUE!</v>
      </c>
      <c r="XFD32" s="33" t="str">
        <f t="shared" si="3"/>
        <v/>
      </c>
    </row>
    <row r="33" spans="2:2 16383:16384" x14ac:dyDescent="0.25">
      <c r="B33" s="43"/>
      <c r="XFC33" t="e" vm="24">
        <v>#VALUE!</v>
      </c>
      <c r="XFD33" s="33" t="str">
        <f t="shared" si="3"/>
        <v/>
      </c>
    </row>
    <row r="34" spans="2:2 16383:16384" x14ac:dyDescent="0.25">
      <c r="B34" s="43"/>
      <c r="XFC34" t="e" vm="25">
        <v>#VALUE!</v>
      </c>
      <c r="XFD34" s="33" t="str">
        <f t="shared" si="3"/>
        <v/>
      </c>
    </row>
    <row r="35" spans="2:2 16383:16384" x14ac:dyDescent="0.25">
      <c r="B35" s="43"/>
      <c r="XFC35" t="e" vm="26">
        <v>#VALUE!</v>
      </c>
      <c r="XFD35" s="33" t="str">
        <f t="shared" si="3"/>
        <v/>
      </c>
    </row>
    <row r="36" spans="2:2 16383:16384" x14ac:dyDescent="0.25">
      <c r="B36" s="43"/>
      <c r="XFC36" t="e" vm="27">
        <v>#VALUE!</v>
      </c>
      <c r="XFD36" s="33" t="str">
        <f t="shared" si="3"/>
        <v/>
      </c>
    </row>
    <row r="37" spans="2:2 16383:16384" x14ac:dyDescent="0.25">
      <c r="B37" s="43"/>
      <c r="XFC37" t="e" vm="28">
        <v>#VALUE!</v>
      </c>
      <c r="XFD37" s="33" t="str">
        <f t="shared" si="3"/>
        <v/>
      </c>
    </row>
    <row r="38" spans="2:2 16383:16384" x14ac:dyDescent="0.25">
      <c r="B38" s="43"/>
      <c r="XFC38" t="e" vm="29">
        <v>#VALUE!</v>
      </c>
      <c r="XFD38" s="33" t="str">
        <f t="shared" si="3"/>
        <v/>
      </c>
    </row>
    <row r="39" spans="2:2 16383:16384" x14ac:dyDescent="0.25">
      <c r="B39" s="43"/>
      <c r="XFC39" t="e" vm="30">
        <v>#VALUE!</v>
      </c>
      <c r="XFD39" s="33" t="str">
        <f t="shared" si="3"/>
        <v/>
      </c>
    </row>
    <row r="40" spans="2:2 16383:16384" x14ac:dyDescent="0.25">
      <c r="B40" s="43"/>
      <c r="XFC40" t="e" vm="31">
        <v>#VALUE!</v>
      </c>
      <c r="XFD40" s="33" t="str">
        <f t="shared" si="3"/>
        <v/>
      </c>
    </row>
    <row r="41" spans="2:2 16383:16384" x14ac:dyDescent="0.25">
      <c r="B41" s="43"/>
      <c r="XFC41" t="e" vm="32">
        <v>#VALUE!</v>
      </c>
      <c r="XFD41" s="33" t="str">
        <f t="shared" si="3"/>
        <v/>
      </c>
    </row>
    <row r="42" spans="2:2 16383:16384" x14ac:dyDescent="0.25">
      <c r="B42" s="43"/>
    </row>
    <row r="43" spans="2:2 16383:16384" x14ac:dyDescent="0.25">
      <c r="B43" s="43"/>
    </row>
    <row r="44" spans="2:2 16383:16384" x14ac:dyDescent="0.25">
      <c r="B44" s="43"/>
    </row>
    <row r="45" spans="2:2 16383:16384" x14ac:dyDescent="0.25">
      <c r="B45" s="43"/>
    </row>
    <row r="46" spans="2:2 16383:16384" x14ac:dyDescent="0.25">
      <c r="B46" s="43"/>
      <c r="XFC46" t="e" vm="2">
        <v>#VALUE!</v>
      </c>
      <c r="XFD46" s="3" t="s">
        <v>44</v>
      </c>
    </row>
    <row r="47" spans="2:2 16383:16384" x14ac:dyDescent="0.25">
      <c r="B47" s="43"/>
      <c r="XFC47" t="e" vm="3">
        <v>#VALUE!</v>
      </c>
      <c r="XFD47" s="4" t="s">
        <v>90</v>
      </c>
    </row>
    <row r="48" spans="2:2 16383:16384" x14ac:dyDescent="0.25">
      <c r="B48" s="43"/>
      <c r="XFC48" t="e" vm="5">
        <v>#VALUE!</v>
      </c>
      <c r="XFD48" s="3" t="s">
        <v>26</v>
      </c>
    </row>
    <row r="49" spans="2:2 16383:16384" x14ac:dyDescent="0.25">
      <c r="B49" s="43"/>
      <c r="XFC49" t="e" vm="7">
        <v>#VALUE!</v>
      </c>
      <c r="XFD49" s="3" t="s">
        <v>73</v>
      </c>
    </row>
    <row r="50" spans="2:2 16383:16384" x14ac:dyDescent="0.25">
      <c r="B50" s="43"/>
      <c r="XFC50" t="e" vm="8">
        <v>#VALUE!</v>
      </c>
      <c r="XFD50" s="3" t="s">
        <v>22</v>
      </c>
    </row>
    <row r="51" spans="2:2 16383:16384" x14ac:dyDescent="0.25">
      <c r="B51" s="43"/>
      <c r="XFC51" t="e" vm="10">
        <v>#VALUE!</v>
      </c>
      <c r="XFD51" s="3" t="s">
        <v>34</v>
      </c>
    </row>
    <row r="52" spans="2:2 16383:16384" x14ac:dyDescent="0.25">
      <c r="B52" s="43"/>
      <c r="XFC52" t="e" vm="11">
        <v>#VALUE!</v>
      </c>
      <c r="XFD52" s="3" t="s">
        <v>16</v>
      </c>
    </row>
    <row r="53" spans="2:2 16383:16384" x14ac:dyDescent="0.25">
      <c r="B53" s="43"/>
      <c r="XFC53" t="e" vm="12">
        <v>#VALUE!</v>
      </c>
      <c r="XFD53" s="3" t="s">
        <v>40</v>
      </c>
    </row>
    <row r="54" spans="2:2 16383:16384" x14ac:dyDescent="0.25">
      <c r="B54" s="43"/>
      <c r="XFC54" t="e" vm="13">
        <v>#VALUE!</v>
      </c>
      <c r="XFD54" s="6" t="s">
        <v>148</v>
      </c>
    </row>
    <row r="55" spans="2:2 16383:16384" x14ac:dyDescent="0.25">
      <c r="B55" s="43"/>
      <c r="XFC55" t="e" vm="19">
        <v>#VALUE!</v>
      </c>
      <c r="XFD55" s="3" t="s">
        <v>77</v>
      </c>
    </row>
    <row r="56" spans="2:2 16383:16384" x14ac:dyDescent="0.25">
      <c r="B56" s="43"/>
      <c r="XFC56" t="e" vm="20">
        <v>#VALUE!</v>
      </c>
      <c r="XFD56" s="3" t="s">
        <v>51</v>
      </c>
    </row>
    <row r="57" spans="2:2 16383:16384" x14ac:dyDescent="0.25">
      <c r="B57" s="43"/>
      <c r="XFC57" t="e" vm="21">
        <v>#VALUE!</v>
      </c>
      <c r="XFD57" s="3" t="s">
        <v>67</v>
      </c>
    </row>
    <row r="58" spans="2:2 16383:16384" x14ac:dyDescent="0.25">
      <c r="B58" s="43"/>
      <c r="XFC58" t="e" vm="22">
        <v>#VALUE!</v>
      </c>
      <c r="XFD58" s="4" t="s">
        <v>82</v>
      </c>
    </row>
    <row r="59" spans="2:2 16383:16384" x14ac:dyDescent="0.25">
      <c r="B59" s="43"/>
      <c r="XFC59" t="e" vm="23">
        <v>#VALUE!</v>
      </c>
      <c r="XFD59" s="4" t="s">
        <v>93</v>
      </c>
    </row>
    <row r="60" spans="2:2 16383:16384" x14ac:dyDescent="0.25">
      <c r="B60" s="43"/>
      <c r="XFC60" t="e" vm="25">
        <v>#VALUE!</v>
      </c>
      <c r="XFD60" s="6" t="s">
        <v>147</v>
      </c>
    </row>
    <row r="61" spans="2:2 16383:16384" x14ac:dyDescent="0.25">
      <c r="B61" s="43"/>
      <c r="XFC61" t="e" vm="27">
        <v>#VALUE!</v>
      </c>
      <c r="XFD61" s="4" t="s">
        <v>96</v>
      </c>
    </row>
    <row r="62" spans="2:2 16383:16384" x14ac:dyDescent="0.25">
      <c r="B62" s="43"/>
      <c r="XFC62" t="e" vm="28">
        <v>#VALUE!</v>
      </c>
      <c r="XFD62" s="3" t="s">
        <v>63</v>
      </c>
    </row>
    <row r="63" spans="2:2 16383:16384" x14ac:dyDescent="0.25">
      <c r="B63" s="43"/>
      <c r="XFC63" t="e" vm="30">
        <v>#VALUE!</v>
      </c>
      <c r="XFD63" s="4" t="s">
        <v>102</v>
      </c>
    </row>
    <row r="64" spans="2:2 16383:16384" x14ac:dyDescent="0.25">
      <c r="B64" s="43"/>
      <c r="XFC64" t="e" vm="31">
        <v>#VALUE!</v>
      </c>
      <c r="XFD64" s="3" t="s">
        <v>56</v>
      </c>
    </row>
    <row r="65" spans="2:2" x14ac:dyDescent="0.25">
      <c r="B65" s="43"/>
    </row>
    <row r="66" spans="2:2" x14ac:dyDescent="0.25">
      <c r="B66" s="43"/>
    </row>
    <row r="67" spans="2:2" x14ac:dyDescent="0.25">
      <c r="B67" s="43"/>
    </row>
    <row r="68" spans="2:2" x14ac:dyDescent="0.25">
      <c r="B68" s="43"/>
    </row>
    <row r="69" spans="2:2" x14ac:dyDescent="0.25">
      <c r="B69" s="43"/>
    </row>
    <row r="70" spans="2:2" x14ac:dyDescent="0.25">
      <c r="B70" s="43"/>
    </row>
    <row r="71" spans="2:2" x14ac:dyDescent="0.25">
      <c r="B71" s="43"/>
    </row>
  </sheetData>
  <sortState xmlns:xlrd2="http://schemas.microsoft.com/office/spreadsheetml/2017/richdata2" ref="XFD46:XFD64">
    <sortCondition ref="XFD46:XFD64"/>
  </sortState>
  <mergeCells count="3">
    <mergeCell ref="B2:C2"/>
    <mergeCell ref="B3:C3"/>
    <mergeCell ref="B4:C4"/>
  </mergeCells>
  <dataValidations count="1">
    <dataValidation type="list" allowBlank="1" showInputMessage="1" showErrorMessage="1" sqref="B2" xr:uid="{F3B7F4AF-60DF-4D0E-A75B-1C36C9752551}">
      <formula1>formulador</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F4B43-805E-4F5A-940E-7C7AFB6D411E}">
  <sheetPr codeName="Hoja2"/>
  <dimension ref="A1:C120"/>
  <sheetViews>
    <sheetView workbookViewId="0">
      <selection activeCell="A37" sqref="A37"/>
    </sheetView>
  </sheetViews>
  <sheetFormatPr baseColWidth="10" defaultRowHeight="15" x14ac:dyDescent="0.25"/>
  <cols>
    <col min="1" max="1" width="74.140625" customWidth="1"/>
    <col min="2" max="2" width="35.5703125" customWidth="1"/>
    <col min="3" max="3" width="33.7109375" style="11" customWidth="1"/>
  </cols>
  <sheetData>
    <row r="1" spans="1:3" x14ac:dyDescent="0.25">
      <c r="A1" s="3" t="s">
        <v>85</v>
      </c>
      <c r="C1" s="1" t="s">
        <v>186</v>
      </c>
    </row>
    <row r="2" spans="1:3" x14ac:dyDescent="0.25">
      <c r="A2" s="3" t="s">
        <v>33</v>
      </c>
      <c r="C2" s="1" t="s">
        <v>182</v>
      </c>
    </row>
    <row r="3" spans="1:3" x14ac:dyDescent="0.25">
      <c r="A3" s="3" t="s">
        <v>143</v>
      </c>
      <c r="C3" s="1" t="s">
        <v>113</v>
      </c>
    </row>
    <row r="4" spans="1:3" x14ac:dyDescent="0.25">
      <c r="A4" s="3" t="s">
        <v>140</v>
      </c>
      <c r="C4" s="1" t="s">
        <v>115</v>
      </c>
    </row>
    <row r="5" spans="1:3" x14ac:dyDescent="0.25">
      <c r="A5" s="3" t="s">
        <v>135</v>
      </c>
      <c r="C5" s="1" t="s">
        <v>187</v>
      </c>
    </row>
    <row r="6" spans="1:3" x14ac:dyDescent="0.25">
      <c r="A6" s="3" t="s">
        <v>62</v>
      </c>
      <c r="C6" s="1" t="s">
        <v>116</v>
      </c>
    </row>
    <row r="7" spans="1:3" x14ac:dyDescent="0.25">
      <c r="A7" s="3" t="s">
        <v>55</v>
      </c>
      <c r="C7" s="1" t="s">
        <v>111</v>
      </c>
    </row>
    <row r="8" spans="1:3" x14ac:dyDescent="0.25">
      <c r="A8" s="3" t="s">
        <v>125</v>
      </c>
      <c r="C8" s="1" t="s">
        <v>109</v>
      </c>
    </row>
    <row r="9" spans="1:3" x14ac:dyDescent="0.25">
      <c r="A9" s="3" t="s">
        <v>72</v>
      </c>
      <c r="C9" s="1" t="s">
        <v>114</v>
      </c>
    </row>
    <row r="10" spans="1:3" x14ac:dyDescent="0.25">
      <c r="A10" s="3" t="s">
        <v>98</v>
      </c>
      <c r="C10" s="1" t="s">
        <v>180</v>
      </c>
    </row>
    <row r="11" spans="1:3" x14ac:dyDescent="0.25">
      <c r="A11" s="3" t="s">
        <v>100</v>
      </c>
      <c r="C11" s="1" t="s">
        <v>185</v>
      </c>
    </row>
    <row r="12" spans="1:3" x14ac:dyDescent="0.25">
      <c r="A12" s="3" t="s">
        <v>66</v>
      </c>
      <c r="C12" s="1" t="s">
        <v>117</v>
      </c>
    </row>
    <row r="13" spans="1:3" x14ac:dyDescent="0.25">
      <c r="A13" s="3" t="s">
        <v>60</v>
      </c>
      <c r="C13" s="1" t="s">
        <v>112</v>
      </c>
    </row>
    <row r="14" spans="1:3" x14ac:dyDescent="0.25">
      <c r="A14" s="3" t="s">
        <v>70</v>
      </c>
      <c r="C14" s="1" t="s">
        <v>178</v>
      </c>
    </row>
    <row r="15" spans="1:3" x14ac:dyDescent="0.25">
      <c r="A15" s="3" t="s">
        <v>89</v>
      </c>
      <c r="C15" s="1" t="s">
        <v>191</v>
      </c>
    </row>
    <row r="16" spans="1:3" x14ac:dyDescent="0.25">
      <c r="A16" s="3" t="s">
        <v>25</v>
      </c>
      <c r="C16" s="1" t="s">
        <v>189</v>
      </c>
    </row>
    <row r="17" spans="1:3" x14ac:dyDescent="0.25">
      <c r="A17" s="3" t="s">
        <v>95</v>
      </c>
      <c r="C17" s="1" t="s">
        <v>192</v>
      </c>
    </row>
    <row r="18" spans="1:3" x14ac:dyDescent="0.25">
      <c r="A18" s="3" t="s">
        <v>21</v>
      </c>
      <c r="C18" s="1" t="s">
        <v>190</v>
      </c>
    </row>
    <row r="19" spans="1:3" x14ac:dyDescent="0.25">
      <c r="A19" s="3" t="s">
        <v>31</v>
      </c>
      <c r="C19" s="1" t="s">
        <v>110</v>
      </c>
    </row>
    <row r="20" spans="1:3" x14ac:dyDescent="0.25">
      <c r="A20" s="3" t="s">
        <v>13</v>
      </c>
      <c r="C20" s="1" t="s">
        <v>188</v>
      </c>
    </row>
    <row r="21" spans="1:3" x14ac:dyDescent="0.25">
      <c r="A21" s="3" t="s">
        <v>76</v>
      </c>
      <c r="C21" s="1"/>
    </row>
    <row r="22" spans="1:3" x14ac:dyDescent="0.25">
      <c r="A22" s="3" t="s">
        <v>65</v>
      </c>
      <c r="C22"/>
    </row>
    <row r="23" spans="1:3" x14ac:dyDescent="0.25">
      <c r="A23" s="3" t="s">
        <v>58</v>
      </c>
      <c r="C23"/>
    </row>
    <row r="24" spans="1:3" x14ac:dyDescent="0.25">
      <c r="A24" s="3" t="s">
        <v>69</v>
      </c>
      <c r="C24"/>
    </row>
    <row r="25" spans="1:3" x14ac:dyDescent="0.25">
      <c r="A25" s="3" t="s">
        <v>39</v>
      </c>
      <c r="C25"/>
    </row>
    <row r="26" spans="1:3" x14ac:dyDescent="0.25">
      <c r="A26" s="3" t="s">
        <v>145</v>
      </c>
      <c r="C26"/>
    </row>
    <row r="27" spans="1:3" x14ac:dyDescent="0.25">
      <c r="A27" s="3" t="s">
        <v>42</v>
      </c>
      <c r="C27"/>
    </row>
    <row r="28" spans="1:3" x14ac:dyDescent="0.25">
      <c r="A28" s="3" t="s">
        <v>118</v>
      </c>
      <c r="C28"/>
    </row>
    <row r="29" spans="1:3" x14ac:dyDescent="0.25">
      <c r="A29" s="3" t="s">
        <v>146</v>
      </c>
      <c r="C29"/>
    </row>
    <row r="30" spans="1:3" x14ac:dyDescent="0.25">
      <c r="A30" s="3" t="s">
        <v>132</v>
      </c>
      <c r="C30"/>
    </row>
    <row r="31" spans="1:3" x14ac:dyDescent="0.25">
      <c r="A31" s="3" t="s">
        <v>134</v>
      </c>
      <c r="C31"/>
    </row>
    <row r="32" spans="1:3" x14ac:dyDescent="0.25">
      <c r="A32" s="3" t="s">
        <v>123</v>
      </c>
      <c r="C32"/>
    </row>
    <row r="33" spans="1:3" x14ac:dyDescent="0.25">
      <c r="A33" s="3" t="s">
        <v>129</v>
      </c>
      <c r="C33"/>
    </row>
    <row r="34" spans="1:3" x14ac:dyDescent="0.25">
      <c r="A34" s="3" t="s">
        <v>181</v>
      </c>
      <c r="C34"/>
    </row>
    <row r="35" spans="1:3" x14ac:dyDescent="0.25">
      <c r="A35" s="3" t="s">
        <v>133</v>
      </c>
      <c r="C35"/>
    </row>
    <row r="36" spans="1:3" x14ac:dyDescent="0.25">
      <c r="A36" s="3" t="s">
        <v>121</v>
      </c>
      <c r="C36"/>
    </row>
    <row r="37" spans="1:3" x14ac:dyDescent="0.25">
      <c r="A37" s="3" t="s">
        <v>137</v>
      </c>
      <c r="C37"/>
    </row>
    <row r="38" spans="1:3" x14ac:dyDescent="0.25">
      <c r="A38" s="3" t="s">
        <v>138</v>
      </c>
      <c r="C38"/>
    </row>
    <row r="39" spans="1:3" x14ac:dyDescent="0.25">
      <c r="A39" s="3" t="s">
        <v>29</v>
      </c>
      <c r="C39"/>
    </row>
    <row r="40" spans="1:3" x14ac:dyDescent="0.25">
      <c r="A40" s="3" t="s">
        <v>43</v>
      </c>
      <c r="C40"/>
    </row>
    <row r="41" spans="1:3" x14ac:dyDescent="0.25">
      <c r="A41" s="3" t="s">
        <v>50</v>
      </c>
      <c r="C41"/>
    </row>
    <row r="42" spans="1:3" x14ac:dyDescent="0.25">
      <c r="A42" s="3" t="s">
        <v>79</v>
      </c>
      <c r="C42"/>
    </row>
    <row r="43" spans="1:3" x14ac:dyDescent="0.25">
      <c r="A43" s="3" t="s">
        <v>87</v>
      </c>
      <c r="C43"/>
    </row>
    <row r="44" spans="1:3" x14ac:dyDescent="0.25">
      <c r="A44" s="3" t="s">
        <v>46</v>
      </c>
      <c r="C44"/>
    </row>
    <row r="45" spans="1:3" x14ac:dyDescent="0.25">
      <c r="A45" s="3" t="s">
        <v>91</v>
      </c>
      <c r="C45"/>
    </row>
    <row r="46" spans="1:3" x14ac:dyDescent="0.25">
      <c r="A46" s="3" t="s">
        <v>130</v>
      </c>
      <c r="C46"/>
    </row>
    <row r="47" spans="1:3" x14ac:dyDescent="0.25">
      <c r="A47" s="3" t="s">
        <v>128</v>
      </c>
      <c r="C47"/>
    </row>
    <row r="48" spans="1:3" x14ac:dyDescent="0.25">
      <c r="A48" s="3" t="s">
        <v>142</v>
      </c>
      <c r="C48"/>
    </row>
    <row r="49" spans="1:3" x14ac:dyDescent="0.25">
      <c r="A49" s="3" t="s">
        <v>131</v>
      </c>
      <c r="C49"/>
    </row>
    <row r="50" spans="1:3" x14ac:dyDescent="0.25">
      <c r="A50" s="3" t="s">
        <v>127</v>
      </c>
      <c r="C50"/>
    </row>
    <row r="51" spans="1:3" x14ac:dyDescent="0.25">
      <c r="A51" s="3" t="s">
        <v>139</v>
      </c>
      <c r="C51"/>
    </row>
    <row r="52" spans="1:3" x14ac:dyDescent="0.25">
      <c r="A52" s="3" t="s">
        <v>183</v>
      </c>
      <c r="C52"/>
    </row>
    <row r="53" spans="1:3" x14ac:dyDescent="0.25">
      <c r="A53" s="3" t="s">
        <v>177</v>
      </c>
      <c r="C53"/>
    </row>
    <row r="54" spans="1:3" x14ac:dyDescent="0.25">
      <c r="A54" s="3" t="s">
        <v>136</v>
      </c>
      <c r="C54"/>
    </row>
    <row r="55" spans="1:3" x14ac:dyDescent="0.25">
      <c r="A55" s="3" t="s">
        <v>179</v>
      </c>
      <c r="C55"/>
    </row>
    <row r="56" spans="1:3" x14ac:dyDescent="0.25">
      <c r="A56" s="3" t="s">
        <v>144</v>
      </c>
      <c r="C56"/>
    </row>
    <row r="57" spans="1:3" x14ac:dyDescent="0.25">
      <c r="A57" s="3" t="s">
        <v>141</v>
      </c>
      <c r="C57"/>
    </row>
    <row r="58" spans="1:3" x14ac:dyDescent="0.25">
      <c r="A58" s="3" t="s">
        <v>53</v>
      </c>
      <c r="C58"/>
    </row>
    <row r="59" spans="1:3" x14ac:dyDescent="0.25">
      <c r="A59" s="37"/>
      <c r="C59"/>
    </row>
    <row r="60" spans="1:3" x14ac:dyDescent="0.25">
      <c r="A60" s="3" t="s">
        <v>33</v>
      </c>
      <c r="C60"/>
    </row>
    <row r="61" spans="1:3" x14ac:dyDescent="0.25">
      <c r="A61" s="3" t="s">
        <v>143</v>
      </c>
      <c r="C61"/>
    </row>
    <row r="62" spans="1:3" x14ac:dyDescent="0.25">
      <c r="A62" s="3" t="s">
        <v>140</v>
      </c>
      <c r="C62"/>
    </row>
    <row r="63" spans="1:3" x14ac:dyDescent="0.25">
      <c r="A63" s="3" t="s">
        <v>135</v>
      </c>
      <c r="C63"/>
    </row>
    <row r="64" spans="1:3" x14ac:dyDescent="0.25">
      <c r="A64" s="3" t="s">
        <v>37</v>
      </c>
      <c r="C64"/>
    </row>
    <row r="65" spans="1:3" x14ac:dyDescent="0.25">
      <c r="A65" s="3" t="s">
        <v>62</v>
      </c>
      <c r="C65"/>
    </row>
    <row r="66" spans="1:3" x14ac:dyDescent="0.25">
      <c r="A66" s="3" t="s">
        <v>55</v>
      </c>
      <c r="C66"/>
    </row>
    <row r="67" spans="1:3" x14ac:dyDescent="0.25">
      <c r="A67" s="3" t="s">
        <v>125</v>
      </c>
      <c r="C67"/>
    </row>
    <row r="68" spans="1:3" x14ac:dyDescent="0.25">
      <c r="A68" s="3" t="s">
        <v>72</v>
      </c>
      <c r="C68"/>
    </row>
    <row r="69" spans="1:3" x14ac:dyDescent="0.25">
      <c r="A69" s="3" t="s">
        <v>98</v>
      </c>
      <c r="C69"/>
    </row>
    <row r="70" spans="1:3" x14ac:dyDescent="0.25">
      <c r="A70" s="3" t="s">
        <v>100</v>
      </c>
      <c r="C70"/>
    </row>
    <row r="71" spans="1:3" x14ac:dyDescent="0.25">
      <c r="A71" s="3" t="s">
        <v>66</v>
      </c>
      <c r="C71"/>
    </row>
    <row r="72" spans="1:3" x14ac:dyDescent="0.25">
      <c r="A72" s="3" t="s">
        <v>60</v>
      </c>
      <c r="C72"/>
    </row>
    <row r="73" spans="1:3" x14ac:dyDescent="0.25">
      <c r="A73" s="3" t="s">
        <v>70</v>
      </c>
      <c r="C73"/>
    </row>
    <row r="74" spans="1:3" x14ac:dyDescent="0.25">
      <c r="A74" s="3" t="s">
        <v>107</v>
      </c>
      <c r="C74"/>
    </row>
    <row r="75" spans="1:3" x14ac:dyDescent="0.25">
      <c r="A75" s="3" t="s">
        <v>89</v>
      </c>
      <c r="C75"/>
    </row>
    <row r="76" spans="1:3" x14ac:dyDescent="0.25">
      <c r="A76" s="3" t="s">
        <v>35</v>
      </c>
      <c r="C76"/>
    </row>
    <row r="77" spans="1:3" x14ac:dyDescent="0.25">
      <c r="A77" s="3" t="s">
        <v>25</v>
      </c>
      <c r="C77"/>
    </row>
    <row r="78" spans="1:3" x14ac:dyDescent="0.25">
      <c r="A78" s="3" t="s">
        <v>95</v>
      </c>
      <c r="C78"/>
    </row>
    <row r="79" spans="1:3" x14ac:dyDescent="0.25">
      <c r="A79" s="3" t="s">
        <v>21</v>
      </c>
      <c r="C79"/>
    </row>
    <row r="80" spans="1:3" x14ac:dyDescent="0.25">
      <c r="A80" s="3" t="s">
        <v>105</v>
      </c>
      <c r="C80"/>
    </row>
    <row r="81" spans="1:3" x14ac:dyDescent="0.25">
      <c r="A81" s="3" t="s">
        <v>31</v>
      </c>
      <c r="C81"/>
    </row>
    <row r="82" spans="1:3" x14ac:dyDescent="0.25">
      <c r="A82" s="3" t="s">
        <v>13</v>
      </c>
      <c r="C82"/>
    </row>
    <row r="83" spans="1:3" x14ac:dyDescent="0.25">
      <c r="A83" s="3" t="s">
        <v>76</v>
      </c>
      <c r="C83"/>
    </row>
    <row r="84" spans="1:3" x14ac:dyDescent="0.25">
      <c r="A84" s="3" t="s">
        <v>65</v>
      </c>
      <c r="C84"/>
    </row>
    <row r="85" spans="1:3" x14ac:dyDescent="0.25">
      <c r="A85" s="3" t="s">
        <v>58</v>
      </c>
      <c r="C85"/>
    </row>
    <row r="86" spans="1:3" x14ac:dyDescent="0.25">
      <c r="A86" s="3" t="s">
        <v>69</v>
      </c>
      <c r="C86"/>
    </row>
    <row r="87" spans="1:3" x14ac:dyDescent="0.25">
      <c r="A87" s="3" t="s">
        <v>39</v>
      </c>
      <c r="C87"/>
    </row>
    <row r="88" spans="1:3" x14ac:dyDescent="0.25">
      <c r="A88" s="3" t="s">
        <v>145</v>
      </c>
      <c r="C88"/>
    </row>
    <row r="89" spans="1:3" x14ac:dyDescent="0.25">
      <c r="A89" s="3" t="s">
        <v>42</v>
      </c>
      <c r="C89"/>
    </row>
    <row r="90" spans="1:3" x14ac:dyDescent="0.25">
      <c r="A90" s="3" t="s">
        <v>118</v>
      </c>
      <c r="C90"/>
    </row>
    <row r="91" spans="1:3" x14ac:dyDescent="0.25">
      <c r="A91" s="3" t="s">
        <v>146</v>
      </c>
      <c r="C91"/>
    </row>
    <row r="92" spans="1:3" x14ac:dyDescent="0.25">
      <c r="A92" s="3" t="s">
        <v>132</v>
      </c>
      <c r="C92"/>
    </row>
    <row r="93" spans="1:3" x14ac:dyDescent="0.25">
      <c r="A93" s="3" t="s">
        <v>134</v>
      </c>
      <c r="C93"/>
    </row>
    <row r="94" spans="1:3" x14ac:dyDescent="0.25">
      <c r="A94" s="3" t="s">
        <v>123</v>
      </c>
      <c r="C94"/>
    </row>
    <row r="95" spans="1:3" x14ac:dyDescent="0.25">
      <c r="A95" s="3" t="s">
        <v>129</v>
      </c>
      <c r="C95"/>
    </row>
    <row r="96" spans="1:3" x14ac:dyDescent="0.25">
      <c r="A96" s="3" t="s">
        <v>133</v>
      </c>
      <c r="C96"/>
    </row>
    <row r="97" spans="1:3" x14ac:dyDescent="0.25">
      <c r="A97" s="3" t="s">
        <v>121</v>
      </c>
      <c r="C97"/>
    </row>
    <row r="98" spans="1:3" x14ac:dyDescent="0.25">
      <c r="A98" s="3" t="s">
        <v>137</v>
      </c>
      <c r="C98"/>
    </row>
    <row r="99" spans="1:3" x14ac:dyDescent="0.25">
      <c r="A99" s="3" t="s">
        <v>138</v>
      </c>
      <c r="C99"/>
    </row>
    <row r="100" spans="1:3" x14ac:dyDescent="0.25">
      <c r="A100" s="3" t="s">
        <v>29</v>
      </c>
      <c r="C100"/>
    </row>
    <row r="101" spans="1:3" x14ac:dyDescent="0.25">
      <c r="A101" s="3" t="s">
        <v>43</v>
      </c>
      <c r="C101"/>
    </row>
    <row r="102" spans="1:3" x14ac:dyDescent="0.25">
      <c r="A102" s="3" t="s">
        <v>50</v>
      </c>
      <c r="C102"/>
    </row>
    <row r="103" spans="1:3" x14ac:dyDescent="0.25">
      <c r="A103" s="3" t="s">
        <v>101</v>
      </c>
      <c r="C103"/>
    </row>
    <row r="104" spans="1:3" x14ac:dyDescent="0.25">
      <c r="A104" s="3" t="s">
        <v>79</v>
      </c>
      <c r="C104"/>
    </row>
    <row r="105" spans="1:3" x14ac:dyDescent="0.25">
      <c r="A105" s="3" t="s">
        <v>81</v>
      </c>
      <c r="C105"/>
    </row>
    <row r="106" spans="1:3" x14ac:dyDescent="0.25">
      <c r="A106" s="3" t="s">
        <v>87</v>
      </c>
      <c r="C106"/>
    </row>
    <row r="107" spans="1:3" x14ac:dyDescent="0.25">
      <c r="A107" s="3" t="s">
        <v>46</v>
      </c>
      <c r="C107"/>
    </row>
    <row r="108" spans="1:3" x14ac:dyDescent="0.25">
      <c r="A108" s="3" t="s">
        <v>91</v>
      </c>
      <c r="C108"/>
    </row>
    <row r="109" spans="1:3" x14ac:dyDescent="0.25">
      <c r="A109" s="3" t="s">
        <v>130</v>
      </c>
      <c r="C109"/>
    </row>
    <row r="110" spans="1:3" x14ac:dyDescent="0.25">
      <c r="A110" s="3" t="s">
        <v>128</v>
      </c>
      <c r="C110"/>
    </row>
    <row r="111" spans="1:3" x14ac:dyDescent="0.25">
      <c r="A111" s="3" t="s">
        <v>142</v>
      </c>
      <c r="C111"/>
    </row>
    <row r="112" spans="1:3" x14ac:dyDescent="0.25">
      <c r="A112" s="3" t="s">
        <v>131</v>
      </c>
      <c r="C112"/>
    </row>
    <row r="113" spans="1:3" x14ac:dyDescent="0.25">
      <c r="A113" s="3" t="s">
        <v>127</v>
      </c>
      <c r="C113"/>
    </row>
    <row r="114" spans="1:3" x14ac:dyDescent="0.25">
      <c r="A114" s="3" t="s">
        <v>139</v>
      </c>
      <c r="C114"/>
    </row>
    <row r="115" spans="1:3" x14ac:dyDescent="0.25">
      <c r="A115" s="3" t="s">
        <v>136</v>
      </c>
      <c r="C115"/>
    </row>
    <row r="116" spans="1:3" x14ac:dyDescent="0.25">
      <c r="A116" s="3" t="s">
        <v>144</v>
      </c>
      <c r="C116"/>
    </row>
    <row r="117" spans="1:3" x14ac:dyDescent="0.25">
      <c r="A117" s="3" t="s">
        <v>141</v>
      </c>
      <c r="C117"/>
    </row>
    <row r="118" spans="1:3" x14ac:dyDescent="0.25">
      <c r="A118" s="3" t="s">
        <v>53</v>
      </c>
      <c r="C118"/>
    </row>
    <row r="119" spans="1:3" x14ac:dyDescent="0.25">
      <c r="C119"/>
    </row>
    <row r="120" spans="1:3" x14ac:dyDescent="0.25">
      <c r="C120"/>
    </row>
  </sheetData>
  <sortState xmlns:xlrd2="http://schemas.microsoft.com/office/spreadsheetml/2017/richdata2" ref="C1:C37">
    <sortCondition ref="C1:C37"/>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6614C-9A5B-41D2-B612-2B5193FF1D6D}">
  <sheetPr codeName="Hoja3"/>
  <dimension ref="A1:J62"/>
  <sheetViews>
    <sheetView topLeftCell="A43" workbookViewId="0">
      <selection activeCell="F55" sqref="F55"/>
    </sheetView>
  </sheetViews>
  <sheetFormatPr baseColWidth="10" defaultRowHeight="15" x14ac:dyDescent="0.25"/>
  <cols>
    <col min="1" max="1" width="4" bestFit="1" customWidth="1"/>
    <col min="2" max="2" width="74.140625" customWidth="1"/>
    <col min="3" max="3" width="20.85546875" bestFit="1" customWidth="1"/>
    <col min="4" max="4" width="20.5703125" bestFit="1" customWidth="1"/>
    <col min="5" max="5" width="16.85546875" bestFit="1" customWidth="1"/>
    <col min="6" max="6" width="99.85546875" bestFit="1" customWidth="1"/>
    <col min="7" max="7" width="23.85546875" bestFit="1" customWidth="1"/>
    <col min="8" max="8" width="26.140625" bestFit="1" customWidth="1"/>
    <col min="9" max="9" width="10.42578125" bestFit="1" customWidth="1"/>
  </cols>
  <sheetData>
    <row r="1" spans="1:10" ht="76.5" x14ac:dyDescent="0.25">
      <c r="A1" s="2" t="s">
        <v>0</v>
      </c>
      <c r="B1" s="2" t="s">
        <v>1</v>
      </c>
      <c r="C1" s="2" t="s">
        <v>2</v>
      </c>
      <c r="D1" s="2" t="s">
        <v>3</v>
      </c>
      <c r="E1" s="2" t="s">
        <v>108</v>
      </c>
      <c r="F1" s="12" t="s">
        <v>4</v>
      </c>
      <c r="G1" s="12" t="s">
        <v>5</v>
      </c>
      <c r="H1" s="12" t="s">
        <v>6</v>
      </c>
      <c r="I1" s="13" t="s">
        <v>7</v>
      </c>
      <c r="J1" s="13" t="s">
        <v>8</v>
      </c>
    </row>
    <row r="2" spans="1:10" x14ac:dyDescent="0.25">
      <c r="A2" s="2">
        <v>642</v>
      </c>
      <c r="B2" s="3" t="s">
        <v>13</v>
      </c>
      <c r="C2" s="1" t="s">
        <v>14</v>
      </c>
      <c r="D2" s="1" t="s">
        <v>15</v>
      </c>
      <c r="E2" s="1" t="str">
        <f>+VLOOKUP(A2,[1]!Tabla13[[ID]:[FORMULADOR]],5,0)</f>
        <v>LAURA PEREIRA</v>
      </c>
      <c r="F2" s="3" t="s">
        <v>16</v>
      </c>
      <c r="G2" s="3" t="s">
        <v>17</v>
      </c>
      <c r="H2" s="3" t="s">
        <v>18</v>
      </c>
      <c r="I2" s="14" t="s">
        <v>19</v>
      </c>
      <c r="J2" s="14" t="s">
        <v>19</v>
      </c>
    </row>
    <row r="3" spans="1:10" x14ac:dyDescent="0.25">
      <c r="A3" s="2">
        <v>383</v>
      </c>
      <c r="B3" s="3" t="s">
        <v>21</v>
      </c>
      <c r="C3" s="1" t="s">
        <v>14</v>
      </c>
      <c r="D3" s="1" t="s">
        <v>15</v>
      </c>
      <c r="E3" s="1" t="str">
        <f>+VLOOKUP(A3,[1]!Tabla13[[ID]:[FORMULADOR]],5,0)</f>
        <v>FRANCISCO VILLA</v>
      </c>
      <c r="F3" s="3" t="s">
        <v>22</v>
      </c>
      <c r="G3" s="3" t="s">
        <v>23</v>
      </c>
      <c r="H3" s="3" t="s">
        <v>24</v>
      </c>
      <c r="I3" s="15" t="s">
        <v>19</v>
      </c>
      <c r="J3" s="15">
        <v>43712</v>
      </c>
    </row>
    <row r="4" spans="1:10" x14ac:dyDescent="0.25">
      <c r="A4" s="2">
        <v>386</v>
      </c>
      <c r="B4" s="3" t="s">
        <v>25</v>
      </c>
      <c r="C4" s="1" t="s">
        <v>14</v>
      </c>
      <c r="D4" s="1" t="s">
        <v>15</v>
      </c>
      <c r="E4" s="1" t="str">
        <f>+VLOOKUP(A4,[1]!Tabla13[[ID]:[FORMULADOR]],5,0)</f>
        <v>DANIELA GARCIA</v>
      </c>
      <c r="F4" s="3" t="s">
        <v>26</v>
      </c>
      <c r="G4" s="3" t="s">
        <v>27</v>
      </c>
      <c r="H4" s="3" t="s">
        <v>28</v>
      </c>
      <c r="I4" s="15" t="s">
        <v>19</v>
      </c>
      <c r="J4" s="15">
        <v>44552</v>
      </c>
    </row>
    <row r="5" spans="1:10" x14ac:dyDescent="0.25">
      <c r="A5" s="2">
        <v>600</v>
      </c>
      <c r="B5" s="3" t="s">
        <v>29</v>
      </c>
      <c r="C5" s="1" t="s">
        <v>14</v>
      </c>
      <c r="D5" s="1" t="s">
        <v>15</v>
      </c>
      <c r="E5" s="1" t="str">
        <f>+VLOOKUP(A5,[1]!Tabla13[[ID]:[FORMULADOR]],5,0)</f>
        <v>DANIELA GARCIA</v>
      </c>
      <c r="F5" s="3" t="s">
        <v>26</v>
      </c>
      <c r="G5" s="3" t="s">
        <v>30</v>
      </c>
      <c r="H5" s="3" t="s">
        <v>28</v>
      </c>
      <c r="I5" s="15" t="s">
        <v>19</v>
      </c>
      <c r="J5" s="15">
        <v>44405</v>
      </c>
    </row>
    <row r="6" spans="1:10" x14ac:dyDescent="0.25">
      <c r="A6" s="2">
        <v>849</v>
      </c>
      <c r="B6" s="3" t="s">
        <v>31</v>
      </c>
      <c r="C6" s="1" t="s">
        <v>14</v>
      </c>
      <c r="D6" s="1" t="s">
        <v>15</v>
      </c>
      <c r="E6" s="1" t="str">
        <f>+VLOOKUP(A6,[1]!Tabla13[[ID]:[FORMULADOR]],5,0)</f>
        <v>DANIELA GARCIA</v>
      </c>
      <c r="F6" s="3" t="s">
        <v>26</v>
      </c>
      <c r="G6" s="3" t="s">
        <v>32</v>
      </c>
      <c r="H6" s="3" t="s">
        <v>28</v>
      </c>
      <c r="I6" s="15" t="s">
        <v>19</v>
      </c>
      <c r="J6" s="15">
        <v>44764</v>
      </c>
    </row>
    <row r="7" spans="1:10" x14ac:dyDescent="0.25">
      <c r="A7" s="2">
        <v>471</v>
      </c>
      <c r="B7" s="3" t="s">
        <v>33</v>
      </c>
      <c r="C7" s="1" t="s">
        <v>14</v>
      </c>
      <c r="D7" s="1" t="s">
        <v>15</v>
      </c>
      <c r="E7" s="1" t="str">
        <f>+VLOOKUP(A7,[1]!Tabla13[[ID]:[FORMULADOR]],5,0)</f>
        <v>NATALIA GARCIA</v>
      </c>
      <c r="F7" s="3" t="s">
        <v>34</v>
      </c>
      <c r="G7" s="3" t="s">
        <v>32</v>
      </c>
      <c r="H7" s="3" t="s">
        <v>34</v>
      </c>
      <c r="I7" s="14" t="s">
        <v>19</v>
      </c>
      <c r="J7" s="14">
        <v>44460</v>
      </c>
    </row>
    <row r="8" spans="1:10" x14ac:dyDescent="0.25">
      <c r="A8" s="2">
        <v>827</v>
      </c>
      <c r="B8" s="3" t="s">
        <v>181</v>
      </c>
      <c r="C8" s="1" t="s">
        <v>14</v>
      </c>
      <c r="D8" s="1" t="s">
        <v>15</v>
      </c>
      <c r="E8" s="1" t="str">
        <f>+VLOOKUP(A8,[1]!Tabla13[[ID]:[FORMULADOR]],5,0)</f>
        <v>ANGELICA PINILLA</v>
      </c>
      <c r="F8" s="3" t="s">
        <v>34</v>
      </c>
      <c r="G8" s="3" t="s">
        <v>36</v>
      </c>
      <c r="H8" s="3" t="s">
        <v>34</v>
      </c>
      <c r="I8" s="14" t="s">
        <v>19</v>
      </c>
      <c r="J8" s="14">
        <v>44540</v>
      </c>
    </row>
    <row r="9" spans="1:10" x14ac:dyDescent="0.25">
      <c r="A9" s="2">
        <v>577</v>
      </c>
      <c r="B9" s="3" t="s">
        <v>37</v>
      </c>
      <c r="C9" s="1" t="s">
        <v>14</v>
      </c>
      <c r="D9" s="1" t="s">
        <v>15</v>
      </c>
      <c r="E9" s="1" t="e">
        <f>+VLOOKUP(A9,[1]!Tabla13[[ID]:[FORMULADOR]],5,0)</f>
        <v>#N/A</v>
      </c>
      <c r="F9" s="3" t="s">
        <v>34</v>
      </c>
      <c r="G9" s="3" t="s">
        <v>38</v>
      </c>
      <c r="H9" s="3" t="s">
        <v>34</v>
      </c>
      <c r="I9" s="14" t="s">
        <v>19</v>
      </c>
      <c r="J9" s="14">
        <v>44426</v>
      </c>
    </row>
    <row r="10" spans="1:10" x14ac:dyDescent="0.25">
      <c r="A10" s="2">
        <v>190</v>
      </c>
      <c r="B10" s="3" t="s">
        <v>39</v>
      </c>
      <c r="C10" s="1" t="s">
        <v>14</v>
      </c>
      <c r="D10" s="1" t="s">
        <v>15</v>
      </c>
      <c r="E10" s="1" t="str">
        <f>+VLOOKUP(A10,[1]!Tabla13[[ID]:[FORMULADOR]],5,0)</f>
        <v>ANAIS PALACIOS</v>
      </c>
      <c r="F10" s="3" t="s">
        <v>40</v>
      </c>
      <c r="G10" s="3" t="s">
        <v>41</v>
      </c>
      <c r="H10" s="3" t="s">
        <v>40</v>
      </c>
      <c r="I10" s="15" t="s">
        <v>19</v>
      </c>
      <c r="J10" s="15">
        <v>43993</v>
      </c>
    </row>
    <row r="11" spans="1:10" x14ac:dyDescent="0.25">
      <c r="A11" s="2">
        <v>191</v>
      </c>
      <c r="B11" s="3" t="s">
        <v>42</v>
      </c>
      <c r="C11" s="1" t="s">
        <v>14</v>
      </c>
      <c r="D11" s="1" t="s">
        <v>15</v>
      </c>
      <c r="E11" s="1" t="str">
        <f>+VLOOKUP(A11,[1]!Tabla13[[ID]:[FORMULADOR]],5,0)</f>
        <v>DANIELA ROJAS</v>
      </c>
      <c r="F11" s="3" t="s">
        <v>40</v>
      </c>
      <c r="G11" s="3" t="s">
        <v>41</v>
      </c>
      <c r="H11" s="3" t="s">
        <v>40</v>
      </c>
      <c r="I11" s="15" t="s">
        <v>19</v>
      </c>
      <c r="J11" s="15">
        <v>44124</v>
      </c>
    </row>
    <row r="12" spans="1:10" x14ac:dyDescent="0.25">
      <c r="A12" s="2">
        <v>105</v>
      </c>
      <c r="B12" s="3" t="s">
        <v>43</v>
      </c>
      <c r="C12" s="1" t="s">
        <v>14</v>
      </c>
      <c r="D12" s="1" t="s">
        <v>15</v>
      </c>
      <c r="E12" s="1" t="str">
        <f>+VLOOKUP(A12,[1]!Tabla13[[ID]:[FORMULADOR]],5,0)</f>
        <v>LUCY GONZALEZ</v>
      </c>
      <c r="F12" s="3" t="s">
        <v>44</v>
      </c>
      <c r="G12" s="3" t="s">
        <v>45</v>
      </c>
      <c r="H12" s="3" t="s">
        <v>44</v>
      </c>
      <c r="I12" s="15" t="s">
        <v>19</v>
      </c>
      <c r="J12" s="15">
        <v>43461</v>
      </c>
    </row>
    <row r="13" spans="1:10" x14ac:dyDescent="0.25">
      <c r="A13" s="2">
        <v>752</v>
      </c>
      <c r="B13" s="3" t="s">
        <v>46</v>
      </c>
      <c r="C13" s="1" t="s">
        <v>47</v>
      </c>
      <c r="D13" s="1" t="s">
        <v>48</v>
      </c>
      <c r="E13" s="1" t="str">
        <f>+VLOOKUP(A13,[1]!Tabla13[[ID]:[FORMULADOR]],5,0)</f>
        <v>YASSER MÉNDEZ</v>
      </c>
      <c r="F13" s="3" t="s">
        <v>44</v>
      </c>
      <c r="G13" s="3" t="s">
        <v>49</v>
      </c>
      <c r="H13" s="3" t="s">
        <v>44</v>
      </c>
      <c r="I13" s="15" t="s">
        <v>19</v>
      </c>
      <c r="J13" s="15">
        <v>44512</v>
      </c>
    </row>
    <row r="14" spans="1:10" x14ac:dyDescent="0.25">
      <c r="A14" s="2">
        <v>258</v>
      </c>
      <c r="B14" s="3" t="s">
        <v>50</v>
      </c>
      <c r="C14" s="1" t="s">
        <v>14</v>
      </c>
      <c r="D14" s="1" t="s">
        <v>15</v>
      </c>
      <c r="E14" s="1" t="str">
        <f>+VLOOKUP(A14,[1]!Tabla13[[ID]:[FORMULADOR]],5,0)</f>
        <v>OLGA MATIAS</v>
      </c>
      <c r="F14" s="3" t="s">
        <v>51</v>
      </c>
      <c r="G14" s="3" t="s">
        <v>50</v>
      </c>
      <c r="H14" s="3" t="s">
        <v>52</v>
      </c>
      <c r="I14" s="15" t="s">
        <v>19</v>
      </c>
      <c r="J14" s="15">
        <v>44337</v>
      </c>
    </row>
    <row r="15" spans="1:10" x14ac:dyDescent="0.25">
      <c r="A15" s="2">
        <v>599</v>
      </c>
      <c r="B15" s="3" t="s">
        <v>53</v>
      </c>
      <c r="C15" s="1" t="s">
        <v>14</v>
      </c>
      <c r="D15" s="1" t="s">
        <v>15</v>
      </c>
      <c r="E15" s="1" t="str">
        <f>+VLOOKUP(A15,[1]!Tabla13[[ID]:[FORMULADOR]],5,0)</f>
        <v>MARIA CAMILA JARA</v>
      </c>
      <c r="F15" s="3" t="s">
        <v>51</v>
      </c>
      <c r="G15" s="3" t="s">
        <v>54</v>
      </c>
      <c r="H15" s="3" t="s">
        <v>52</v>
      </c>
      <c r="I15" s="15" t="s">
        <v>19</v>
      </c>
      <c r="J15" s="15">
        <v>44447</v>
      </c>
    </row>
    <row r="16" spans="1:10" x14ac:dyDescent="0.25">
      <c r="A16" s="2">
        <v>609</v>
      </c>
      <c r="B16" s="3" t="s">
        <v>55</v>
      </c>
      <c r="C16" s="1" t="s">
        <v>14</v>
      </c>
      <c r="D16" s="1" t="s">
        <v>15</v>
      </c>
      <c r="E16" s="1" t="str">
        <f>+VLOOKUP(A16,[1]!Tabla13[[ID]:[FORMULADOR]],5,0)</f>
        <v>MARIA CAMILA JARA</v>
      </c>
      <c r="F16" s="3" t="s">
        <v>56</v>
      </c>
      <c r="G16" s="3" t="s">
        <v>57</v>
      </c>
      <c r="H16" s="3" t="s">
        <v>52</v>
      </c>
      <c r="I16" s="15" t="s">
        <v>19</v>
      </c>
      <c r="J16" s="15">
        <v>44645</v>
      </c>
    </row>
    <row r="17" spans="1:10" x14ac:dyDescent="0.25">
      <c r="A17" s="2">
        <v>668</v>
      </c>
      <c r="B17" s="3" t="s">
        <v>58</v>
      </c>
      <c r="C17" s="1" t="s">
        <v>14</v>
      </c>
      <c r="D17" s="1" t="s">
        <v>15</v>
      </c>
      <c r="E17" s="1" t="str">
        <f>+VLOOKUP(A17,[1]!Tabla13[[ID]:[FORMULADOR]],5,0)</f>
        <v>MARIA CAMILA JARA</v>
      </c>
      <c r="F17" s="3" t="s">
        <v>51</v>
      </c>
      <c r="G17" s="3" t="s">
        <v>59</v>
      </c>
      <c r="H17" s="3" t="s">
        <v>52</v>
      </c>
      <c r="I17" s="15" t="s">
        <v>19</v>
      </c>
      <c r="J17" s="15">
        <v>44182</v>
      </c>
    </row>
    <row r="18" spans="1:10" x14ac:dyDescent="0.25">
      <c r="A18" s="2">
        <v>742</v>
      </c>
      <c r="B18" s="3" t="s">
        <v>60</v>
      </c>
      <c r="C18" s="1" t="s">
        <v>14</v>
      </c>
      <c r="D18" s="1" t="s">
        <v>15</v>
      </c>
      <c r="E18" s="1" t="str">
        <f>+VLOOKUP(A18,[1]!Tabla13[[ID]:[FORMULADOR]],5,0)</f>
        <v>MARIA CAMILA JARA</v>
      </c>
      <c r="F18" s="3" t="s">
        <v>167</v>
      </c>
      <c r="G18" s="3" t="s">
        <v>61</v>
      </c>
      <c r="H18" s="3" t="s">
        <v>52</v>
      </c>
      <c r="I18" s="15" t="s">
        <v>19</v>
      </c>
      <c r="J18" s="15" t="s">
        <v>19</v>
      </c>
    </row>
    <row r="19" spans="1:10" x14ac:dyDescent="0.25">
      <c r="A19" s="2">
        <v>373</v>
      </c>
      <c r="B19" s="3" t="s">
        <v>62</v>
      </c>
      <c r="C19" s="1" t="s">
        <v>14</v>
      </c>
      <c r="D19" s="1" t="s">
        <v>15</v>
      </c>
      <c r="E19" s="1" t="str">
        <f>+VLOOKUP(A19,[1]!Tabla13[[ID]:[FORMULADOR]],5,0)</f>
        <v>DANIELA GARCIA</v>
      </c>
      <c r="F19" s="3" t="s">
        <v>63</v>
      </c>
      <c r="G19" s="3" t="s">
        <v>64</v>
      </c>
      <c r="H19" s="3" t="s">
        <v>63</v>
      </c>
      <c r="I19" s="15" t="s">
        <v>19</v>
      </c>
      <c r="J19" s="15">
        <v>43445</v>
      </c>
    </row>
    <row r="20" spans="1:10" x14ac:dyDescent="0.25">
      <c r="A20" s="2">
        <v>647</v>
      </c>
      <c r="B20" s="3" t="s">
        <v>65</v>
      </c>
      <c r="C20" s="1" t="s">
        <v>14</v>
      </c>
      <c r="D20" s="1" t="s">
        <v>15</v>
      </c>
      <c r="E20" s="1" t="str">
        <f>+VLOOKUP(A20,[1]!Tabla13[[ID]:[FORMULADOR]],5,0)</f>
        <v>DANIELA GARCIA</v>
      </c>
      <c r="F20" s="3" t="s">
        <v>63</v>
      </c>
      <c r="G20" s="3" t="s">
        <v>64</v>
      </c>
      <c r="H20" s="3" t="s">
        <v>63</v>
      </c>
      <c r="I20" s="15" t="s">
        <v>19</v>
      </c>
      <c r="J20" s="15">
        <v>44534</v>
      </c>
    </row>
    <row r="21" spans="1:10" x14ac:dyDescent="0.25">
      <c r="A21" s="2">
        <v>727</v>
      </c>
      <c r="B21" s="3" t="s">
        <v>66</v>
      </c>
      <c r="C21" s="1" t="s">
        <v>14</v>
      </c>
      <c r="D21" s="1" t="s">
        <v>15</v>
      </c>
      <c r="E21" s="1" t="str">
        <f>+VLOOKUP(A21,[1]!Tabla13[[ID]:[FORMULADOR]],5,0)</f>
        <v>KAREN BOHORQUEZ</v>
      </c>
      <c r="F21" s="3" t="s">
        <v>67</v>
      </c>
      <c r="G21" s="3" t="s">
        <v>68</v>
      </c>
      <c r="H21" s="3" t="s">
        <v>67</v>
      </c>
      <c r="I21" s="15" t="s">
        <v>19</v>
      </c>
      <c r="J21" s="15">
        <v>44438</v>
      </c>
    </row>
    <row r="22" spans="1:10" x14ac:dyDescent="0.25">
      <c r="A22" s="2">
        <v>753</v>
      </c>
      <c r="B22" s="3" t="s">
        <v>69</v>
      </c>
      <c r="C22" s="1" t="s">
        <v>14</v>
      </c>
      <c r="D22" s="1" t="s">
        <v>15</v>
      </c>
      <c r="E22" s="1" t="str">
        <f>+VLOOKUP(A22,[1]!Tabla13[[ID]:[FORMULADOR]],5,0)</f>
        <v>KAREN BOHORQUEZ</v>
      </c>
      <c r="F22" s="3" t="s">
        <v>67</v>
      </c>
      <c r="G22" s="3" t="s">
        <v>68</v>
      </c>
      <c r="H22" s="3" t="s">
        <v>67</v>
      </c>
      <c r="I22" s="15" t="s">
        <v>19</v>
      </c>
      <c r="J22" s="15">
        <v>44438</v>
      </c>
    </row>
    <row r="23" spans="1:10" x14ac:dyDescent="0.25">
      <c r="A23" s="2">
        <v>792</v>
      </c>
      <c r="B23" s="3" t="s">
        <v>70</v>
      </c>
      <c r="C23" s="1" t="s">
        <v>14</v>
      </c>
      <c r="D23" s="1" t="s">
        <v>15</v>
      </c>
      <c r="E23" s="1" t="str">
        <f>+VLOOKUP(A23,[1]!Tabla13[[ID]:[FORMULADOR]],5,0)</f>
        <v>KAREN BOHORQUEZ</v>
      </c>
      <c r="F23" s="3" t="s">
        <v>67</v>
      </c>
      <c r="G23" s="3" t="s">
        <v>71</v>
      </c>
      <c r="H23" s="3" t="s">
        <v>67</v>
      </c>
      <c r="I23" s="15" t="s">
        <v>19</v>
      </c>
      <c r="J23" s="15">
        <v>44730</v>
      </c>
    </row>
    <row r="24" spans="1:10" x14ac:dyDescent="0.25">
      <c r="A24" s="2">
        <v>467</v>
      </c>
      <c r="B24" s="3" t="s">
        <v>72</v>
      </c>
      <c r="C24" s="1" t="s">
        <v>14</v>
      </c>
      <c r="D24" s="1" t="s">
        <v>15</v>
      </c>
      <c r="E24" s="1" t="str">
        <f>+VLOOKUP(A24,[1]!Tabla13[[ID]:[FORMULADOR]],5,0)</f>
        <v>YASSER MÉNDEZ</v>
      </c>
      <c r="F24" s="3" t="s">
        <v>73</v>
      </c>
      <c r="G24" s="3" t="s">
        <v>74</v>
      </c>
      <c r="H24" s="3" t="s">
        <v>75</v>
      </c>
      <c r="I24" s="15" t="s">
        <v>19</v>
      </c>
      <c r="J24" s="15">
        <v>44190</v>
      </c>
    </row>
    <row r="25" spans="1:10" x14ac:dyDescent="0.25">
      <c r="A25" s="2">
        <v>655</v>
      </c>
      <c r="B25" s="3" t="s">
        <v>76</v>
      </c>
      <c r="C25" s="1" t="s">
        <v>14</v>
      </c>
      <c r="D25" s="1" t="s">
        <v>15</v>
      </c>
      <c r="E25" s="1" t="str">
        <f>+VLOOKUP(A25,[1]!Tabla13[[ID]:[FORMULADOR]],5,0)</f>
        <v>BLANCA LOZANO</v>
      </c>
      <c r="F25" s="3" t="s">
        <v>77</v>
      </c>
      <c r="G25" s="3" t="s">
        <v>78</v>
      </c>
      <c r="H25" s="3" t="s">
        <v>77</v>
      </c>
      <c r="I25" s="15" t="s">
        <v>19</v>
      </c>
      <c r="J25" s="15">
        <v>44706</v>
      </c>
    </row>
    <row r="26" spans="1:10" x14ac:dyDescent="0.25">
      <c r="A26" s="2">
        <v>858</v>
      </c>
      <c r="B26" s="3" t="s">
        <v>79</v>
      </c>
      <c r="C26" s="1" t="s">
        <v>47</v>
      </c>
      <c r="D26" s="1" t="s">
        <v>48</v>
      </c>
      <c r="E26" s="1" t="str">
        <f>+VLOOKUP(A26,[1]!Tabla13[[ID]:[FORMULADOR]],5,0)</f>
        <v>PAOLA BLANCO</v>
      </c>
      <c r="F26" s="3" t="s">
        <v>77</v>
      </c>
      <c r="G26" s="3" t="s">
        <v>80</v>
      </c>
      <c r="H26" s="3" t="s">
        <v>77</v>
      </c>
      <c r="I26" s="15" t="s">
        <v>19</v>
      </c>
      <c r="J26" s="15">
        <v>44511</v>
      </c>
    </row>
    <row r="27" spans="1:10" x14ac:dyDescent="0.25">
      <c r="A27" s="2">
        <v>54</v>
      </c>
      <c r="B27" s="3" t="s">
        <v>81</v>
      </c>
      <c r="C27" s="5" t="s">
        <v>14</v>
      </c>
      <c r="D27" s="5" t="s">
        <v>15</v>
      </c>
      <c r="E27" s="1" t="e">
        <f>+VLOOKUP(A27,[1]!Tabla13[[ID]:[FORMULADOR]],5,0)</f>
        <v>#N/A</v>
      </c>
      <c r="F27" s="4" t="s">
        <v>82</v>
      </c>
      <c r="G27" s="4" t="s">
        <v>83</v>
      </c>
      <c r="H27" s="6" t="s">
        <v>84</v>
      </c>
      <c r="I27" s="16" t="s">
        <v>19</v>
      </c>
      <c r="J27" s="16">
        <v>42000</v>
      </c>
    </row>
    <row r="28" spans="1:10" x14ac:dyDescent="0.25">
      <c r="A28" s="2">
        <v>634</v>
      </c>
      <c r="B28" s="3" t="s">
        <v>85</v>
      </c>
      <c r="C28" s="5" t="s">
        <v>47</v>
      </c>
      <c r="D28" s="5" t="s">
        <v>86</v>
      </c>
      <c r="E28" s="1" t="str">
        <f>+VLOOKUP(A28,[1]!Tabla13[[ID]:[FORMULADOR]],5,0)</f>
        <v>FRANCISCO VILLA</v>
      </c>
      <c r="F28" s="4" t="s">
        <v>82</v>
      </c>
      <c r="G28" s="4" t="s">
        <v>83</v>
      </c>
      <c r="H28" s="6" t="s">
        <v>84</v>
      </c>
      <c r="I28" s="16" t="s">
        <v>19</v>
      </c>
      <c r="J28" s="16">
        <v>44546</v>
      </c>
    </row>
    <row r="29" spans="1:10" x14ac:dyDescent="0.25">
      <c r="A29" s="2">
        <v>318</v>
      </c>
      <c r="B29" s="3" t="s">
        <v>87</v>
      </c>
      <c r="C29" s="5" t="s">
        <v>14</v>
      </c>
      <c r="D29" s="5" t="s">
        <v>15</v>
      </c>
      <c r="E29" s="1" t="str">
        <f>+VLOOKUP(A29,[1]!Tabla13[[ID]:[FORMULADOR]],5,0)</f>
        <v>FRANCISCO VILLA</v>
      </c>
      <c r="F29" s="4" t="s">
        <v>82</v>
      </c>
      <c r="G29" s="4" t="s">
        <v>88</v>
      </c>
      <c r="H29" s="6" t="s">
        <v>84</v>
      </c>
      <c r="I29" s="16" t="s">
        <v>19</v>
      </c>
      <c r="J29" s="16">
        <v>44529</v>
      </c>
    </row>
    <row r="30" spans="1:10" x14ac:dyDescent="0.25">
      <c r="A30" s="2">
        <v>723</v>
      </c>
      <c r="B30" s="3" t="s">
        <v>89</v>
      </c>
      <c r="C30" s="5" t="s">
        <v>14</v>
      </c>
      <c r="D30" s="5" t="s">
        <v>15</v>
      </c>
      <c r="E30" s="1" t="str">
        <f>+VLOOKUP(A30,[1]!Tabla13[[ID]:[FORMULADOR]],5,0)</f>
        <v>FRANCISCO VILLA</v>
      </c>
      <c r="F30" s="4" t="s">
        <v>90</v>
      </c>
      <c r="G30" s="4" t="s">
        <v>90</v>
      </c>
      <c r="H30" s="6" t="s">
        <v>84</v>
      </c>
      <c r="I30" s="16" t="s">
        <v>19</v>
      </c>
      <c r="J30" s="16">
        <v>44522</v>
      </c>
    </row>
    <row r="31" spans="1:10" x14ac:dyDescent="0.25">
      <c r="A31" s="2">
        <v>265</v>
      </c>
      <c r="B31" s="3" t="s">
        <v>91</v>
      </c>
      <c r="C31" s="5" t="s">
        <v>47</v>
      </c>
      <c r="D31" s="5" t="s">
        <v>92</v>
      </c>
      <c r="E31" s="1" t="str">
        <f>+VLOOKUP(A31,[1]!Tabla13[[ID]:[FORMULADOR]],5,0)</f>
        <v>MARLEN RODRIGUEZ</v>
      </c>
      <c r="F31" s="4" t="s">
        <v>93</v>
      </c>
      <c r="G31" s="4" t="s">
        <v>94</v>
      </c>
      <c r="H31" s="6" t="s">
        <v>93</v>
      </c>
      <c r="I31" s="16" t="s">
        <v>19</v>
      </c>
      <c r="J31" s="16">
        <v>44764</v>
      </c>
    </row>
    <row r="32" spans="1:10" x14ac:dyDescent="0.25">
      <c r="A32" s="2">
        <v>387</v>
      </c>
      <c r="B32" s="3" t="s">
        <v>95</v>
      </c>
      <c r="C32" s="5" t="s">
        <v>14</v>
      </c>
      <c r="D32" s="5" t="s">
        <v>15</v>
      </c>
      <c r="E32" s="1" t="str">
        <f>+VLOOKUP(A32,[1]!Tabla13[[ID]:[FORMULADOR]],5,0)</f>
        <v>NATALIA VARGAS</v>
      </c>
      <c r="F32" s="4" t="s">
        <v>96</v>
      </c>
      <c r="G32" s="4" t="s">
        <v>97</v>
      </c>
      <c r="H32" s="6" t="s">
        <v>96</v>
      </c>
      <c r="I32" s="16" t="s">
        <v>19</v>
      </c>
      <c r="J32" s="16">
        <v>44461</v>
      </c>
    </row>
    <row r="33" spans="1:10" x14ac:dyDescent="0.25">
      <c r="A33" s="2">
        <v>465</v>
      </c>
      <c r="B33" s="3" t="s">
        <v>98</v>
      </c>
      <c r="C33" s="5" t="s">
        <v>14</v>
      </c>
      <c r="D33" s="5" t="s">
        <v>15</v>
      </c>
      <c r="E33" s="1" t="str">
        <f>+VLOOKUP(A33,[1]!Tabla13[[ID]:[FORMULADOR]],5,0)</f>
        <v>KAREN BOHORQUEZ</v>
      </c>
      <c r="F33" s="4" t="s">
        <v>96</v>
      </c>
      <c r="G33" s="4" t="s">
        <v>99</v>
      </c>
      <c r="H33" s="6" t="s">
        <v>96</v>
      </c>
      <c r="I33" s="16" t="s">
        <v>19</v>
      </c>
      <c r="J33" s="16">
        <v>44543</v>
      </c>
    </row>
    <row r="34" spans="1:10" x14ac:dyDescent="0.25">
      <c r="A34" s="2">
        <v>466</v>
      </c>
      <c r="B34" s="3" t="s">
        <v>100</v>
      </c>
      <c r="C34" s="5" t="s">
        <v>14</v>
      </c>
      <c r="D34" s="5" t="s">
        <v>15</v>
      </c>
      <c r="E34" s="1" t="str">
        <f>+VLOOKUP(A34,[1]!Tabla13[[ID]:[FORMULADOR]],5,0)</f>
        <v>KAREN BOHORQUEZ</v>
      </c>
      <c r="F34" s="4" t="s">
        <v>96</v>
      </c>
      <c r="G34" s="4" t="s">
        <v>99</v>
      </c>
      <c r="H34" s="6" t="s">
        <v>96</v>
      </c>
      <c r="I34" s="16" t="s">
        <v>19</v>
      </c>
      <c r="J34" s="16">
        <v>44495</v>
      </c>
    </row>
    <row r="35" spans="1:10" x14ac:dyDescent="0.25">
      <c r="A35" s="2">
        <v>822</v>
      </c>
      <c r="B35" s="3" t="s">
        <v>101</v>
      </c>
      <c r="C35" s="5" t="s">
        <v>47</v>
      </c>
      <c r="D35" s="5" t="s">
        <v>86</v>
      </c>
      <c r="E35" s="1" t="e">
        <f>+VLOOKUP(A35,[1]!Tabla13[[ID]:[FORMULADOR]],5,0)</f>
        <v>#N/A</v>
      </c>
      <c r="F35" s="4" t="s">
        <v>102</v>
      </c>
      <c r="G35" s="4" t="s">
        <v>103</v>
      </c>
      <c r="H35" s="6" t="s">
        <v>104</v>
      </c>
      <c r="I35" s="16" t="s">
        <v>19</v>
      </c>
      <c r="J35" s="16">
        <v>44499</v>
      </c>
    </row>
    <row r="36" spans="1:10" x14ac:dyDescent="0.25">
      <c r="A36" s="2">
        <v>759</v>
      </c>
      <c r="B36" s="3" t="s">
        <v>105</v>
      </c>
      <c r="C36" s="5" t="s">
        <v>14</v>
      </c>
      <c r="D36" s="5" t="s">
        <v>15</v>
      </c>
      <c r="E36" s="1" t="e">
        <f>+VLOOKUP(A36,[1]!Tabla13[[ID]:[FORMULADOR]],5,0)</f>
        <v>#N/A</v>
      </c>
      <c r="F36" s="4" t="s">
        <v>102</v>
      </c>
      <c r="G36" s="4" t="s">
        <v>106</v>
      </c>
      <c r="H36" s="6" t="s">
        <v>104</v>
      </c>
      <c r="I36" s="16" t="s">
        <v>19</v>
      </c>
      <c r="J36" s="16">
        <v>44764</v>
      </c>
    </row>
    <row r="37" spans="1:10" x14ac:dyDescent="0.25">
      <c r="A37" s="2">
        <v>657</v>
      </c>
      <c r="B37" s="3" t="s">
        <v>107</v>
      </c>
      <c r="C37" s="7" t="s">
        <v>14</v>
      </c>
      <c r="D37" s="8" t="s">
        <v>20</v>
      </c>
      <c r="E37" s="1" t="e">
        <f>+VLOOKUP(A37,[1]!Tabla13[[ID]:[FORMULADOR]],5,0)</f>
        <v>#N/A</v>
      </c>
      <c r="F37" s="6" t="s">
        <v>44</v>
      </c>
      <c r="G37" s="6" t="s">
        <v>45</v>
      </c>
      <c r="H37" s="6" t="s">
        <v>44</v>
      </c>
      <c r="I37" s="16" t="s">
        <v>19</v>
      </c>
      <c r="J37" s="16">
        <v>44537</v>
      </c>
    </row>
    <row r="38" spans="1:10" x14ac:dyDescent="0.25">
      <c r="A38" s="2">
        <v>18</v>
      </c>
      <c r="B38" s="3" t="s">
        <v>118</v>
      </c>
      <c r="C38" s="10" t="s">
        <v>119</v>
      </c>
      <c r="D38" s="9" t="s">
        <v>20</v>
      </c>
      <c r="E38" s="1" t="str">
        <f>+VLOOKUP(A38,[1]!Tabla13[[ID]:[FORMULADOR]],5,0)</f>
        <v>LAURA PEREIRA</v>
      </c>
      <c r="F38" s="17" t="s">
        <v>16</v>
      </c>
      <c r="G38" s="17" t="s">
        <v>120</v>
      </c>
      <c r="H38" s="17" t="s">
        <v>18</v>
      </c>
      <c r="I38" s="18">
        <v>43180</v>
      </c>
      <c r="J38" s="18">
        <v>44542</v>
      </c>
    </row>
    <row r="39" spans="1:10" x14ac:dyDescent="0.25">
      <c r="A39" s="2">
        <v>88</v>
      </c>
      <c r="B39" s="3" t="s">
        <v>193</v>
      </c>
      <c r="C39" s="7" t="s">
        <v>119</v>
      </c>
      <c r="D39" s="8" t="s">
        <v>20</v>
      </c>
      <c r="E39" s="1" t="str">
        <f>+VLOOKUP(A39,[1]!Tabla13[[ID]:[FORMULADOR]],5,0)</f>
        <v>YASSER MÉNDEZ</v>
      </c>
      <c r="F39" s="6" t="s">
        <v>147</v>
      </c>
      <c r="G39" s="6" t="s">
        <v>149</v>
      </c>
      <c r="H39" s="6" t="s">
        <v>75</v>
      </c>
      <c r="I39" s="19">
        <v>41939</v>
      </c>
      <c r="J39" s="19">
        <v>44393</v>
      </c>
    </row>
    <row r="40" spans="1:10" x14ac:dyDescent="0.25">
      <c r="A40" s="2">
        <v>148</v>
      </c>
      <c r="B40" s="3" t="s">
        <v>129</v>
      </c>
      <c r="C40" s="10" t="s">
        <v>119</v>
      </c>
      <c r="D40" s="9" t="s">
        <v>20</v>
      </c>
      <c r="E40" s="1" t="str">
        <f>+VLOOKUP(A40,[1]!Tabla13[[ID]:[FORMULADOR]],5,0)</f>
        <v>LAURA PEREIRA</v>
      </c>
      <c r="F40" s="17" t="s">
        <v>40</v>
      </c>
      <c r="G40" s="17" t="s">
        <v>150</v>
      </c>
      <c r="H40" s="17" t="s">
        <v>165</v>
      </c>
      <c r="I40" s="18">
        <v>44379</v>
      </c>
      <c r="J40" s="18">
        <v>44760</v>
      </c>
    </row>
    <row r="41" spans="1:10" x14ac:dyDescent="0.25">
      <c r="A41" s="2">
        <v>243</v>
      </c>
      <c r="B41" s="3" t="s">
        <v>130</v>
      </c>
      <c r="C41" s="10" t="s">
        <v>119</v>
      </c>
      <c r="D41" s="9" t="s">
        <v>20</v>
      </c>
      <c r="E41" s="1" t="str">
        <f>+VLOOKUP(A41,[1]!Tabla13[[ID]:[FORMULADOR]],5,0)</f>
        <v>YENNY BELTRAN</v>
      </c>
      <c r="F41" s="17" t="s">
        <v>16</v>
      </c>
      <c r="G41" s="17" t="s">
        <v>151</v>
      </c>
      <c r="H41" s="17" t="s">
        <v>18</v>
      </c>
      <c r="I41" s="18">
        <v>42705</v>
      </c>
      <c r="J41" s="18">
        <v>43738</v>
      </c>
    </row>
    <row r="42" spans="1:10" x14ac:dyDescent="0.25">
      <c r="A42" s="2">
        <v>245</v>
      </c>
      <c r="B42" s="3" t="s">
        <v>121</v>
      </c>
      <c r="C42" s="7" t="s">
        <v>119</v>
      </c>
      <c r="D42" s="8" t="s">
        <v>20</v>
      </c>
      <c r="E42" s="1" t="str">
        <f>+VLOOKUP(A42,[1]!Tabla13[[ID]:[FORMULADOR]],5,0)</f>
        <v>LAURA PEREIRA</v>
      </c>
      <c r="F42" s="6" t="s">
        <v>16</v>
      </c>
      <c r="G42" s="6" t="s">
        <v>122</v>
      </c>
      <c r="H42" s="6" t="s">
        <v>18</v>
      </c>
      <c r="I42" s="19">
        <v>44343</v>
      </c>
      <c r="J42" s="19">
        <v>44530</v>
      </c>
    </row>
    <row r="43" spans="1:10" x14ac:dyDescent="0.25">
      <c r="A43" s="2">
        <v>261</v>
      </c>
      <c r="B43" s="3" t="s">
        <v>131</v>
      </c>
      <c r="C43" s="10" t="s">
        <v>119</v>
      </c>
      <c r="D43" s="9" t="s">
        <v>20</v>
      </c>
      <c r="E43" s="1" t="str">
        <f>+VLOOKUP(A43,[1]!Tabla13[[ID]:[FORMULADOR]],5,0)</f>
        <v>MARLEN RODRIGUEZ</v>
      </c>
      <c r="F43" s="17" t="s">
        <v>93</v>
      </c>
      <c r="G43" s="17" t="s">
        <v>152</v>
      </c>
      <c r="H43" s="17" t="s">
        <v>93</v>
      </c>
      <c r="I43" s="18">
        <v>43668</v>
      </c>
      <c r="J43" s="18">
        <v>43769</v>
      </c>
    </row>
    <row r="44" spans="1:10" x14ac:dyDescent="0.25">
      <c r="A44" s="2">
        <v>339</v>
      </c>
      <c r="B44" s="3" t="s">
        <v>132</v>
      </c>
      <c r="C44" s="7" t="s">
        <v>119</v>
      </c>
      <c r="D44" s="8" t="s">
        <v>20</v>
      </c>
      <c r="E44" s="1" t="str">
        <f>+VLOOKUP(A44,[1]!Tabla13[[ID]:[FORMULADOR]],5,0)</f>
        <v>URIBIA NARVAEZ</v>
      </c>
      <c r="F44" s="6" t="s">
        <v>26</v>
      </c>
      <c r="G44" s="6" t="s">
        <v>153</v>
      </c>
      <c r="H44" s="6" t="s">
        <v>166</v>
      </c>
      <c r="I44" s="19">
        <v>43795</v>
      </c>
      <c r="J44" s="19">
        <v>44539</v>
      </c>
    </row>
    <row r="45" spans="1:10" x14ac:dyDescent="0.25">
      <c r="A45" s="2">
        <v>340</v>
      </c>
      <c r="B45" s="3" t="s">
        <v>133</v>
      </c>
      <c r="C45" s="10" t="s">
        <v>119</v>
      </c>
      <c r="D45" s="9" t="s">
        <v>20</v>
      </c>
      <c r="E45" s="1" t="str">
        <f>+VLOOKUP(A45,[1]!Tabla13[[ID]:[FORMULADOR]],5,0)</f>
        <v>DANIELA GARCIA</v>
      </c>
      <c r="F45" s="17" t="s">
        <v>26</v>
      </c>
      <c r="G45" s="17" t="s">
        <v>154</v>
      </c>
      <c r="H45" s="17" t="s">
        <v>166</v>
      </c>
      <c r="I45" s="18">
        <v>43081</v>
      </c>
      <c r="J45" s="18">
        <v>43428</v>
      </c>
    </row>
    <row r="46" spans="1:10" x14ac:dyDescent="0.25">
      <c r="A46" s="2">
        <v>355</v>
      </c>
      <c r="B46" s="3" t="s">
        <v>134</v>
      </c>
      <c r="C46" s="7" t="s">
        <v>119</v>
      </c>
      <c r="D46" s="8" t="s">
        <v>20</v>
      </c>
      <c r="E46" s="1" t="str">
        <f>+VLOOKUP(A46,[1]!Tabla13[[ID]:[FORMULADOR]],5,0)</f>
        <v>BLANCA LOZANO</v>
      </c>
      <c r="F46" s="6" t="s">
        <v>77</v>
      </c>
      <c r="G46" s="6" t="s">
        <v>155</v>
      </c>
      <c r="H46" s="6" t="s">
        <v>77</v>
      </c>
      <c r="I46" s="19">
        <v>43732</v>
      </c>
      <c r="J46" s="19">
        <v>44120</v>
      </c>
    </row>
    <row r="47" spans="1:10" x14ac:dyDescent="0.25">
      <c r="A47" s="2">
        <v>399</v>
      </c>
      <c r="B47" s="3" t="s">
        <v>135</v>
      </c>
      <c r="C47" s="10" t="s">
        <v>119</v>
      </c>
      <c r="D47" s="9" t="s">
        <v>20</v>
      </c>
      <c r="E47" s="1" t="str">
        <f>+VLOOKUP(A47,[1]!Tabla13[[ID]:[FORMULADOR]],5,0)</f>
        <v>YASSER MÉNDEZ</v>
      </c>
      <c r="F47" s="17" t="s">
        <v>73</v>
      </c>
      <c r="G47" s="17" t="s">
        <v>156</v>
      </c>
      <c r="H47" s="17" t="s">
        <v>75</v>
      </c>
      <c r="I47" s="18">
        <v>44415</v>
      </c>
      <c r="J47" s="18">
        <v>45076</v>
      </c>
    </row>
    <row r="48" spans="1:10" x14ac:dyDescent="0.25">
      <c r="A48" s="2">
        <v>453</v>
      </c>
      <c r="B48" s="3" t="s">
        <v>123</v>
      </c>
      <c r="C48" s="7" t="s">
        <v>119</v>
      </c>
      <c r="D48" s="8" t="s">
        <v>20</v>
      </c>
      <c r="E48" s="1" t="str">
        <f>+VLOOKUP(A48,[1]!Tabla13[[ID]:[FORMULADOR]],5,0)</f>
        <v>DIEGO FRANCO</v>
      </c>
      <c r="F48" s="6" t="s">
        <v>34</v>
      </c>
      <c r="G48" s="6" t="s">
        <v>124</v>
      </c>
      <c r="H48" s="6" t="s">
        <v>34</v>
      </c>
      <c r="I48" s="19">
        <v>44164</v>
      </c>
      <c r="J48" s="19">
        <v>44764</v>
      </c>
    </row>
    <row r="49" spans="1:10" x14ac:dyDescent="0.25">
      <c r="A49" s="2">
        <v>462</v>
      </c>
      <c r="B49" s="3" t="s">
        <v>125</v>
      </c>
      <c r="C49" s="10" t="s">
        <v>119</v>
      </c>
      <c r="D49" s="9" t="s">
        <v>20</v>
      </c>
      <c r="E49" s="1" t="str">
        <f>+VLOOKUP(A49,[1]!Tabla13[[ID]:[FORMULADOR]],5,0)</f>
        <v>DIEGO FRANCO</v>
      </c>
      <c r="F49" s="17" t="s">
        <v>34</v>
      </c>
      <c r="G49" s="17" t="s">
        <v>126</v>
      </c>
      <c r="H49" s="17" t="s">
        <v>34</v>
      </c>
      <c r="I49" s="18">
        <v>44905</v>
      </c>
      <c r="J49" s="18">
        <v>44544</v>
      </c>
    </row>
    <row r="50" spans="1:10" x14ac:dyDescent="0.25">
      <c r="A50" s="2">
        <v>535</v>
      </c>
      <c r="B50" s="3" t="s">
        <v>136</v>
      </c>
      <c r="C50" s="7" t="s">
        <v>119</v>
      </c>
      <c r="D50" s="8" t="s">
        <v>20</v>
      </c>
      <c r="E50" s="1" t="str">
        <f>+VLOOKUP(A50,[1]!Tabla13[[ID]:[FORMULADOR]],5,0)</f>
        <v>FRANCISCO VILLA</v>
      </c>
      <c r="F50" s="6" t="s">
        <v>82</v>
      </c>
      <c r="G50" s="6" t="s">
        <v>157</v>
      </c>
      <c r="H50" s="6" t="s">
        <v>84</v>
      </c>
      <c r="I50" s="19">
        <v>43241</v>
      </c>
      <c r="J50" s="19">
        <v>43616</v>
      </c>
    </row>
    <row r="51" spans="1:10" x14ac:dyDescent="0.25">
      <c r="A51" s="2">
        <v>557</v>
      </c>
      <c r="B51" s="3" t="s">
        <v>137</v>
      </c>
      <c r="C51" s="10" t="s">
        <v>119</v>
      </c>
      <c r="D51" s="9" t="s">
        <v>20</v>
      </c>
      <c r="E51" s="1" t="str">
        <f>+VLOOKUP(A51,[1]!Tabla13[[ID]:[FORMULADOR]],5,0)</f>
        <v>KAREN BOHORQUEZ</v>
      </c>
      <c r="F51" s="17" t="s">
        <v>67</v>
      </c>
      <c r="G51" s="17" t="s">
        <v>158</v>
      </c>
      <c r="H51" s="17" t="s">
        <v>67</v>
      </c>
      <c r="I51" s="18">
        <v>44398</v>
      </c>
      <c r="J51" s="18">
        <v>44539</v>
      </c>
    </row>
    <row r="52" spans="1:10" x14ac:dyDescent="0.25">
      <c r="A52" s="2">
        <v>558</v>
      </c>
      <c r="B52" s="3" t="s">
        <v>138</v>
      </c>
      <c r="C52" s="10" t="s">
        <v>119</v>
      </c>
      <c r="D52" s="9" t="s">
        <v>20</v>
      </c>
      <c r="E52" s="1" t="str">
        <f>+VLOOKUP(A52,[1]!Tabla13[[ID]:[FORMULADOR]],5,0)</f>
        <v>KAREN BOHORQUEZ</v>
      </c>
      <c r="F52" s="17" t="s">
        <v>67</v>
      </c>
      <c r="G52" s="17" t="s">
        <v>158</v>
      </c>
      <c r="H52" s="17" t="s">
        <v>67</v>
      </c>
      <c r="I52" s="18">
        <v>44399</v>
      </c>
      <c r="J52" s="18">
        <v>44542</v>
      </c>
    </row>
    <row r="53" spans="1:10" x14ac:dyDescent="0.25">
      <c r="A53" s="2">
        <v>589</v>
      </c>
      <c r="B53" s="3" t="s">
        <v>139</v>
      </c>
      <c r="C53" s="10" t="s">
        <v>119</v>
      </c>
      <c r="D53" s="9" t="s">
        <v>20</v>
      </c>
      <c r="E53" s="1" t="str">
        <f>+VLOOKUP(A53,[1]!Tabla13[[ID]:[FORMULADOR]],5,0)</f>
        <v>YASSER MÉNDEZ</v>
      </c>
      <c r="F53" s="17" t="s">
        <v>73</v>
      </c>
      <c r="G53" s="17" t="s">
        <v>156</v>
      </c>
      <c r="H53" s="17" t="s">
        <v>75</v>
      </c>
      <c r="I53" s="18">
        <v>43710</v>
      </c>
      <c r="J53" s="18">
        <v>44132</v>
      </c>
    </row>
    <row r="54" spans="1:10" x14ac:dyDescent="0.25">
      <c r="A54" s="2">
        <v>611</v>
      </c>
      <c r="B54" s="3" t="s">
        <v>140</v>
      </c>
      <c r="C54" s="7" t="s">
        <v>119</v>
      </c>
      <c r="D54" s="8" t="s">
        <v>20</v>
      </c>
      <c r="E54" s="1" t="str">
        <f>+VLOOKUP(A54,[1]!Tabla13[[ID]:[FORMULADOR]],5,0)</f>
        <v>MARIA CAMILA JARA</v>
      </c>
      <c r="F54" s="6" t="s">
        <v>148</v>
      </c>
      <c r="G54" s="6" t="s">
        <v>159</v>
      </c>
      <c r="H54" s="6" t="s">
        <v>148</v>
      </c>
      <c r="I54" s="19">
        <v>43258</v>
      </c>
      <c r="J54" s="19">
        <v>44741</v>
      </c>
    </row>
    <row r="55" spans="1:10" x14ac:dyDescent="0.25">
      <c r="A55" s="2">
        <v>638</v>
      </c>
      <c r="B55" s="3" t="s">
        <v>141</v>
      </c>
      <c r="C55" s="10" t="s">
        <v>119</v>
      </c>
      <c r="D55" s="9" t="s">
        <v>20</v>
      </c>
      <c r="E55" s="1" t="str">
        <f>+VLOOKUP(A55,[1]!Tabla13[[ID]:[FORMULADOR]],5,0)</f>
        <v>MARLEN RODRIGUEZ</v>
      </c>
      <c r="F55" s="17" t="s">
        <v>93</v>
      </c>
      <c r="G55" s="17" t="s">
        <v>160</v>
      </c>
      <c r="H55" s="17" t="s">
        <v>93</v>
      </c>
      <c r="I55" s="18">
        <v>44124</v>
      </c>
      <c r="J55" s="18">
        <v>44552</v>
      </c>
    </row>
    <row r="56" spans="1:10" x14ac:dyDescent="0.25">
      <c r="A56" s="2">
        <v>650</v>
      </c>
      <c r="B56" s="3" t="s">
        <v>142</v>
      </c>
      <c r="C56" s="10" t="s">
        <v>119</v>
      </c>
      <c r="D56" s="9" t="s">
        <v>20</v>
      </c>
      <c r="E56" s="1" t="str">
        <f>+VLOOKUP(A56,[1]!Tabla13[[ID]:[FORMULADOR]],5,0)</f>
        <v>MARLEN RODRIGUEZ</v>
      </c>
      <c r="F56" s="17" t="s">
        <v>93</v>
      </c>
      <c r="G56" s="17" t="s">
        <v>161</v>
      </c>
      <c r="H56" s="17" t="s">
        <v>93</v>
      </c>
      <c r="I56" s="18">
        <v>44114</v>
      </c>
      <c r="J56" s="18">
        <v>44477</v>
      </c>
    </row>
    <row r="57" spans="1:10" x14ac:dyDescent="0.25">
      <c r="A57" s="2">
        <v>664</v>
      </c>
      <c r="B57" s="3" t="s">
        <v>143</v>
      </c>
      <c r="C57" s="7" t="s">
        <v>119</v>
      </c>
      <c r="D57" s="8" t="s">
        <v>20</v>
      </c>
      <c r="E57" s="1" t="str">
        <f>+VLOOKUP(A57,[1]!Tabla13[[ID]:[FORMULADOR]],5,0)</f>
        <v>MARLEN RODRIGUEZ</v>
      </c>
      <c r="F57" s="6" t="s">
        <v>93</v>
      </c>
      <c r="G57" s="6" t="s">
        <v>162</v>
      </c>
      <c r="H57" s="6" t="s">
        <v>93</v>
      </c>
      <c r="I57" s="19">
        <v>44120</v>
      </c>
      <c r="J57" s="19">
        <v>44428</v>
      </c>
    </row>
    <row r="58" spans="1:10" x14ac:dyDescent="0.25">
      <c r="A58" s="2">
        <v>681</v>
      </c>
      <c r="B58" s="3" t="s">
        <v>127</v>
      </c>
      <c r="C58" s="10" t="s">
        <v>119</v>
      </c>
      <c r="D58" s="9" t="s">
        <v>20</v>
      </c>
      <c r="E58" s="1" t="str">
        <f>+VLOOKUP(A58,[1]!Tabla13[[ID]:[FORMULADOR]],5,0)</f>
        <v>NATALIA GARCIA</v>
      </c>
      <c r="F58" s="17" t="s">
        <v>34</v>
      </c>
      <c r="G58" s="17" t="s">
        <v>32</v>
      </c>
      <c r="H58" s="17" t="s">
        <v>34</v>
      </c>
      <c r="I58" s="18">
        <v>43720</v>
      </c>
      <c r="J58" s="18">
        <v>44557</v>
      </c>
    </row>
    <row r="59" spans="1:10" x14ac:dyDescent="0.25">
      <c r="A59" s="2">
        <v>710</v>
      </c>
      <c r="B59" s="3" t="s">
        <v>144</v>
      </c>
      <c r="C59" s="10" t="s">
        <v>119</v>
      </c>
      <c r="D59" s="9" t="s">
        <v>20</v>
      </c>
      <c r="E59" s="1" t="str">
        <f>+VLOOKUP(A59,[1]!Tabla13[[ID]:[FORMULADOR]],5,0)</f>
        <v>KAREN BOHORQUEZ</v>
      </c>
      <c r="F59" s="17" t="s">
        <v>67</v>
      </c>
      <c r="G59" s="17" t="s">
        <v>163</v>
      </c>
      <c r="H59" s="17" t="s">
        <v>67</v>
      </c>
      <c r="I59" s="18">
        <v>44170</v>
      </c>
      <c r="J59" s="18" t="s">
        <v>19</v>
      </c>
    </row>
    <row r="60" spans="1:10" x14ac:dyDescent="0.25">
      <c r="A60" s="2">
        <v>712</v>
      </c>
      <c r="B60" s="3" t="s">
        <v>145</v>
      </c>
      <c r="C60" s="10" t="s">
        <v>119</v>
      </c>
      <c r="D60" s="9" t="s">
        <v>20</v>
      </c>
      <c r="E60" s="1" t="str">
        <f>+VLOOKUP(A60,[1]!Tabla13[[ID]:[FORMULADOR]],5,0)</f>
        <v>DANIELA GARCIA</v>
      </c>
      <c r="F60" s="17" t="s">
        <v>63</v>
      </c>
      <c r="G60" s="17" t="s">
        <v>164</v>
      </c>
      <c r="H60" s="17" t="s">
        <v>63</v>
      </c>
      <c r="I60" s="18">
        <v>44154</v>
      </c>
      <c r="J60" s="18">
        <v>44804</v>
      </c>
    </row>
    <row r="61" spans="1:10" x14ac:dyDescent="0.25">
      <c r="A61" s="2">
        <v>729</v>
      </c>
      <c r="B61" s="3" t="s">
        <v>146</v>
      </c>
      <c r="C61" s="10" t="s">
        <v>119</v>
      </c>
      <c r="D61" s="9" t="s">
        <v>20</v>
      </c>
      <c r="E61" s="1" t="str">
        <f>+VLOOKUP(A61,[1]!Tabla13[[ID]:[FORMULADOR]],5,0)</f>
        <v>DANIELA GARCIA</v>
      </c>
      <c r="F61" s="17" t="s">
        <v>63</v>
      </c>
      <c r="G61" s="17" t="s">
        <v>164</v>
      </c>
      <c r="H61" s="17" t="s">
        <v>63</v>
      </c>
      <c r="I61" s="18">
        <v>44153</v>
      </c>
      <c r="J61" s="18">
        <v>44528</v>
      </c>
    </row>
    <row r="62" spans="1:10" x14ac:dyDescent="0.25">
      <c r="A62" s="2">
        <v>761</v>
      </c>
      <c r="B62" s="3" t="s">
        <v>128</v>
      </c>
      <c r="C62" s="7" t="s">
        <v>119</v>
      </c>
      <c r="D62" s="8" t="s">
        <v>20</v>
      </c>
      <c r="E62" s="1" t="str">
        <f>+VLOOKUP(A62,[1]!Tabla13[[ID]:[FORMULADOR]],5,0)</f>
        <v>DIEGO FRANCO</v>
      </c>
      <c r="F62" s="6" t="s">
        <v>34</v>
      </c>
      <c r="G62" s="6" t="s">
        <v>36</v>
      </c>
      <c r="H62" s="6" t="s">
        <v>34</v>
      </c>
      <c r="I62" s="19">
        <v>43154</v>
      </c>
      <c r="J62" s="19">
        <v>43299</v>
      </c>
    </row>
  </sheetData>
  <conditionalFormatting sqref="A1:A36">
    <cfRule type="duplicateValues" dxfId="96" priority="94"/>
  </conditionalFormatting>
  <conditionalFormatting sqref="A2">
    <cfRule type="duplicateValues" dxfId="95" priority="92"/>
    <cfRule type="duplicateValues" dxfId="94" priority="93"/>
  </conditionalFormatting>
  <conditionalFormatting sqref="A2:A37">
    <cfRule type="duplicateValues" dxfId="93" priority="89"/>
    <cfRule type="duplicateValues" dxfId="92" priority="90"/>
    <cfRule type="duplicateValues" dxfId="91" priority="91"/>
  </conditionalFormatting>
  <conditionalFormatting sqref="A3">
    <cfRule type="duplicateValues" dxfId="90" priority="87"/>
    <cfRule type="duplicateValues" dxfId="89" priority="88"/>
  </conditionalFormatting>
  <conditionalFormatting sqref="A4">
    <cfRule type="duplicateValues" dxfId="88" priority="85"/>
    <cfRule type="duplicateValues" dxfId="87" priority="86"/>
  </conditionalFormatting>
  <conditionalFormatting sqref="A5">
    <cfRule type="duplicateValues" dxfId="86" priority="83"/>
    <cfRule type="duplicateValues" dxfId="85" priority="84"/>
  </conditionalFormatting>
  <conditionalFormatting sqref="A6">
    <cfRule type="duplicateValues" dxfId="84" priority="81"/>
    <cfRule type="duplicateValues" dxfId="83" priority="82"/>
  </conditionalFormatting>
  <conditionalFormatting sqref="A7:A8">
    <cfRule type="duplicateValues" dxfId="82" priority="79"/>
    <cfRule type="duplicateValues" dxfId="81" priority="80"/>
  </conditionalFormatting>
  <conditionalFormatting sqref="A9">
    <cfRule type="duplicateValues" dxfId="80" priority="77"/>
    <cfRule type="duplicateValues" dxfId="79" priority="78"/>
  </conditionalFormatting>
  <conditionalFormatting sqref="A10:A11">
    <cfRule type="duplicateValues" dxfId="78" priority="75"/>
    <cfRule type="duplicateValues" dxfId="77" priority="76"/>
  </conditionalFormatting>
  <conditionalFormatting sqref="A12">
    <cfRule type="duplicateValues" dxfId="76" priority="73"/>
    <cfRule type="duplicateValues" dxfId="75" priority="74"/>
  </conditionalFormatting>
  <conditionalFormatting sqref="A13">
    <cfRule type="duplicateValues" dxfId="74" priority="71"/>
    <cfRule type="duplicateValues" dxfId="73" priority="72"/>
  </conditionalFormatting>
  <conditionalFormatting sqref="A14">
    <cfRule type="duplicateValues" dxfId="72" priority="69"/>
    <cfRule type="duplicateValues" dxfId="71" priority="70"/>
  </conditionalFormatting>
  <conditionalFormatting sqref="A15:A17">
    <cfRule type="duplicateValues" dxfId="70" priority="67"/>
    <cfRule type="duplicateValues" dxfId="69" priority="68"/>
  </conditionalFormatting>
  <conditionalFormatting sqref="A18">
    <cfRule type="duplicateValues" dxfId="68" priority="65"/>
    <cfRule type="duplicateValues" dxfId="67" priority="66"/>
  </conditionalFormatting>
  <conditionalFormatting sqref="A19">
    <cfRule type="duplicateValues" dxfId="66" priority="63"/>
    <cfRule type="duplicateValues" dxfId="65" priority="64"/>
  </conditionalFormatting>
  <conditionalFormatting sqref="A20">
    <cfRule type="duplicateValues" dxfId="64" priority="61"/>
    <cfRule type="duplicateValues" dxfId="63" priority="62"/>
  </conditionalFormatting>
  <conditionalFormatting sqref="A21:A23">
    <cfRule type="duplicateValues" dxfId="62" priority="59"/>
    <cfRule type="duplicateValues" dxfId="61" priority="60"/>
  </conditionalFormatting>
  <conditionalFormatting sqref="A24">
    <cfRule type="duplicateValues" dxfId="60" priority="57"/>
    <cfRule type="duplicateValues" dxfId="59" priority="58"/>
  </conditionalFormatting>
  <conditionalFormatting sqref="A25">
    <cfRule type="duplicateValues" dxfId="58" priority="55"/>
    <cfRule type="duplicateValues" dxfId="57" priority="56"/>
  </conditionalFormatting>
  <conditionalFormatting sqref="A26:A36">
    <cfRule type="duplicateValues" dxfId="56" priority="53"/>
    <cfRule type="duplicateValues" dxfId="55" priority="54"/>
  </conditionalFormatting>
  <conditionalFormatting sqref="A37">
    <cfRule type="duplicateValues" dxfId="54" priority="50"/>
    <cfRule type="duplicateValues" dxfId="53" priority="51"/>
    <cfRule type="duplicateValues" dxfId="52" priority="52"/>
  </conditionalFormatting>
  <conditionalFormatting sqref="A38:A52">
    <cfRule type="duplicateValues" dxfId="51" priority="46"/>
    <cfRule type="duplicateValues" dxfId="50" priority="47"/>
    <cfRule type="duplicateValues" dxfId="49" priority="48"/>
    <cfRule type="duplicateValues" dxfId="48" priority="49"/>
  </conditionalFormatting>
  <conditionalFormatting sqref="A53">
    <cfRule type="duplicateValues" dxfId="47" priority="42"/>
    <cfRule type="duplicateValues" dxfId="46" priority="43"/>
    <cfRule type="duplicateValues" dxfId="45" priority="44"/>
    <cfRule type="duplicateValues" dxfId="44" priority="45"/>
  </conditionalFormatting>
  <conditionalFormatting sqref="A54">
    <cfRule type="duplicateValues" dxfId="43" priority="38"/>
    <cfRule type="duplicateValues" dxfId="42" priority="39"/>
    <cfRule type="duplicateValues" dxfId="41" priority="40"/>
    <cfRule type="duplicateValues" dxfId="40" priority="41"/>
  </conditionalFormatting>
  <conditionalFormatting sqref="A55:A56">
    <cfRule type="duplicateValues" dxfId="39" priority="34"/>
    <cfRule type="duplicateValues" dxfId="38" priority="35"/>
    <cfRule type="duplicateValues" dxfId="37" priority="36"/>
    <cfRule type="duplicateValues" dxfId="36" priority="37"/>
  </conditionalFormatting>
  <conditionalFormatting sqref="A57">
    <cfRule type="duplicateValues" dxfId="35" priority="30"/>
    <cfRule type="duplicateValues" dxfId="34" priority="31"/>
    <cfRule type="duplicateValues" dxfId="33" priority="32"/>
    <cfRule type="duplicateValues" dxfId="32" priority="33"/>
  </conditionalFormatting>
  <conditionalFormatting sqref="A58">
    <cfRule type="duplicateValues" dxfId="31" priority="26"/>
    <cfRule type="duplicateValues" dxfId="30" priority="27"/>
    <cfRule type="duplicateValues" dxfId="29" priority="28"/>
    <cfRule type="duplicateValues" dxfId="28" priority="29"/>
  </conditionalFormatting>
  <conditionalFormatting sqref="A59">
    <cfRule type="duplicateValues" dxfId="27" priority="22"/>
    <cfRule type="duplicateValues" dxfId="26" priority="23"/>
    <cfRule type="duplicateValues" dxfId="25" priority="24"/>
    <cfRule type="duplicateValues" dxfId="24" priority="25"/>
  </conditionalFormatting>
  <conditionalFormatting sqref="A60">
    <cfRule type="duplicateValues" dxfId="23" priority="18"/>
    <cfRule type="duplicateValues" dxfId="22" priority="19"/>
    <cfRule type="duplicateValues" dxfId="21" priority="20"/>
    <cfRule type="duplicateValues" dxfId="20" priority="21"/>
  </conditionalFormatting>
  <conditionalFormatting sqref="A61">
    <cfRule type="duplicateValues" dxfId="19" priority="14"/>
    <cfRule type="duplicateValues" dxfId="18" priority="15"/>
    <cfRule type="duplicateValues" dxfId="17" priority="16"/>
    <cfRule type="duplicateValues" dxfId="16" priority="17"/>
  </conditionalFormatting>
  <conditionalFormatting sqref="A62">
    <cfRule type="duplicateValues" dxfId="15" priority="10"/>
    <cfRule type="duplicateValues" dxfId="14" priority="11"/>
    <cfRule type="duplicateValues" dxfId="13" priority="12"/>
    <cfRule type="duplicateValues" dxfId="12" priority="13"/>
  </conditionalFormatting>
  <conditionalFormatting sqref="F53">
    <cfRule type="duplicateValues" dxfId="11" priority="9"/>
  </conditionalFormatting>
  <conditionalFormatting sqref="F54">
    <cfRule type="duplicateValues" dxfId="10" priority="8"/>
  </conditionalFormatting>
  <conditionalFormatting sqref="F55:F56">
    <cfRule type="duplicateValues" dxfId="9" priority="7"/>
  </conditionalFormatting>
  <conditionalFormatting sqref="F57">
    <cfRule type="duplicateValues" dxfId="8" priority="6"/>
  </conditionalFormatting>
  <conditionalFormatting sqref="F58">
    <cfRule type="duplicateValues" dxfId="7" priority="5"/>
  </conditionalFormatting>
  <conditionalFormatting sqref="F59">
    <cfRule type="duplicateValues" dxfId="6" priority="4"/>
  </conditionalFormatting>
  <conditionalFormatting sqref="F60">
    <cfRule type="duplicateValues" dxfId="5" priority="3"/>
  </conditionalFormatting>
  <conditionalFormatting sqref="F61">
    <cfRule type="duplicateValues" dxfId="4" priority="2"/>
  </conditionalFormatting>
  <conditionalFormatting sqref="F62">
    <cfRule type="duplicateValues" dxfId="3" priority="1"/>
  </conditionalFormatting>
  <conditionalFormatting sqref="A1:J1">
    <cfRule type="duplicateValues" dxfId="2" priority="95"/>
    <cfRule type="duplicateValues" dxfId="1" priority="96"/>
  </conditionalFormatting>
  <conditionalFormatting sqref="B1:J1">
    <cfRule type="duplicateValues" dxfId="0" priority="97"/>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D478F-9276-4364-8691-EAD8FC44C219}">
  <sheetPr codeName="Hoja4"/>
  <dimension ref="A1:G276"/>
  <sheetViews>
    <sheetView tabSelected="1" workbookViewId="0">
      <selection activeCell="H2" sqref="H1:H1048576"/>
    </sheetView>
  </sheetViews>
  <sheetFormatPr baseColWidth="10" defaultRowHeight="15" x14ac:dyDescent="0.25"/>
  <cols>
    <col min="2" max="2" width="34.85546875" customWidth="1"/>
    <col min="3" max="3" width="19.28515625" customWidth="1"/>
    <col min="4" max="4" width="15.85546875" customWidth="1"/>
    <col min="5" max="6" width="14.85546875" customWidth="1"/>
  </cols>
  <sheetData>
    <row r="1" spans="1:7" ht="25.5" x14ac:dyDescent="0.25">
      <c r="A1" s="34" t="s">
        <v>0</v>
      </c>
      <c r="B1" s="34" t="s">
        <v>1</v>
      </c>
      <c r="C1" s="34" t="s">
        <v>108</v>
      </c>
      <c r="D1" s="34" t="s">
        <v>6</v>
      </c>
      <c r="E1" s="34" t="s">
        <v>169</v>
      </c>
      <c r="F1" s="13" t="s">
        <v>196</v>
      </c>
      <c r="G1" s="35" t="s">
        <v>176</v>
      </c>
    </row>
    <row r="2" spans="1:7" x14ac:dyDescent="0.25">
      <c r="A2">
        <v>471</v>
      </c>
      <c r="B2" t="s">
        <v>33</v>
      </c>
      <c r="C2" t="s">
        <v>178</v>
      </c>
      <c r="D2" t="s">
        <v>34</v>
      </c>
      <c r="E2" t="s">
        <v>9</v>
      </c>
      <c r="F2" s="20">
        <v>45275</v>
      </c>
      <c r="G2" s="20" t="s">
        <v>204</v>
      </c>
    </row>
    <row r="3" spans="1:7" x14ac:dyDescent="0.25">
      <c r="A3">
        <v>471</v>
      </c>
      <c r="B3" t="s">
        <v>33</v>
      </c>
      <c r="C3" t="s">
        <v>178</v>
      </c>
      <c r="D3" t="s">
        <v>34</v>
      </c>
      <c r="E3" t="s">
        <v>10</v>
      </c>
      <c r="F3" s="20">
        <v>45278</v>
      </c>
      <c r="G3" s="20"/>
    </row>
    <row r="4" spans="1:7" x14ac:dyDescent="0.25">
      <c r="A4">
        <v>471</v>
      </c>
      <c r="B4" t="s">
        <v>33</v>
      </c>
      <c r="C4" t="s">
        <v>178</v>
      </c>
      <c r="D4" t="s">
        <v>34</v>
      </c>
      <c r="E4" t="s">
        <v>195</v>
      </c>
      <c r="F4" s="20">
        <v>45280</v>
      </c>
      <c r="G4" s="20" t="s">
        <v>204</v>
      </c>
    </row>
    <row r="5" spans="1:7" x14ac:dyDescent="0.25">
      <c r="A5">
        <v>471</v>
      </c>
      <c r="B5" t="s">
        <v>33</v>
      </c>
      <c r="C5" t="s">
        <v>178</v>
      </c>
      <c r="D5" t="s">
        <v>34</v>
      </c>
      <c r="E5" t="s">
        <v>11</v>
      </c>
      <c r="F5" s="20">
        <v>45283</v>
      </c>
      <c r="G5" s="20"/>
    </row>
    <row r="6" spans="1:7" x14ac:dyDescent="0.25">
      <c r="A6">
        <v>471</v>
      </c>
      <c r="B6" t="s">
        <v>33</v>
      </c>
      <c r="C6" t="s">
        <v>178</v>
      </c>
      <c r="D6" t="s">
        <v>34</v>
      </c>
      <c r="E6" t="s">
        <v>12</v>
      </c>
      <c r="F6" s="36">
        <v>0</v>
      </c>
      <c r="G6" s="36"/>
    </row>
    <row r="7" spans="1:7" x14ac:dyDescent="0.25">
      <c r="A7">
        <v>664</v>
      </c>
      <c r="B7" t="s">
        <v>143</v>
      </c>
      <c r="C7" t="s">
        <v>112</v>
      </c>
      <c r="D7" t="s">
        <v>93</v>
      </c>
      <c r="E7" t="s">
        <v>9</v>
      </c>
      <c r="F7" s="20">
        <v>45264</v>
      </c>
    </row>
    <row r="8" spans="1:7" x14ac:dyDescent="0.25">
      <c r="A8">
        <v>664</v>
      </c>
      <c r="B8" t="s">
        <v>143</v>
      </c>
      <c r="C8" t="s">
        <v>112</v>
      </c>
      <c r="D8" t="s">
        <v>93</v>
      </c>
      <c r="E8" t="s">
        <v>10</v>
      </c>
      <c r="F8" s="20">
        <v>45266</v>
      </c>
    </row>
    <row r="9" spans="1:7" x14ac:dyDescent="0.25">
      <c r="A9">
        <v>664</v>
      </c>
      <c r="B9" t="s">
        <v>143</v>
      </c>
      <c r="C9" t="s">
        <v>112</v>
      </c>
      <c r="D9" t="s">
        <v>93</v>
      </c>
      <c r="E9" t="s">
        <v>195</v>
      </c>
      <c r="F9" s="20">
        <v>45267</v>
      </c>
    </row>
    <row r="10" spans="1:7" x14ac:dyDescent="0.25">
      <c r="A10">
        <v>664</v>
      </c>
      <c r="B10" t="s">
        <v>143</v>
      </c>
      <c r="C10" t="s">
        <v>112</v>
      </c>
      <c r="D10" t="s">
        <v>93</v>
      </c>
      <c r="E10" t="s">
        <v>11</v>
      </c>
      <c r="F10" s="20">
        <v>45272</v>
      </c>
    </row>
    <row r="11" spans="1:7" x14ac:dyDescent="0.25">
      <c r="A11">
        <v>664</v>
      </c>
      <c r="B11" t="s">
        <v>143</v>
      </c>
      <c r="C11" t="s">
        <v>112</v>
      </c>
      <c r="D11" t="s">
        <v>93</v>
      </c>
      <c r="E11" t="s">
        <v>12</v>
      </c>
      <c r="F11" s="20">
        <v>45275</v>
      </c>
    </row>
    <row r="12" spans="1:7" x14ac:dyDescent="0.25">
      <c r="A12">
        <v>611</v>
      </c>
      <c r="B12" t="s">
        <v>140</v>
      </c>
      <c r="C12" t="s">
        <v>117</v>
      </c>
      <c r="D12" t="s">
        <v>148</v>
      </c>
      <c r="E12" t="s">
        <v>9</v>
      </c>
      <c r="F12" s="20">
        <v>45231</v>
      </c>
    </row>
    <row r="13" spans="1:7" x14ac:dyDescent="0.25">
      <c r="A13">
        <v>611</v>
      </c>
      <c r="B13" t="s">
        <v>140</v>
      </c>
      <c r="C13" t="s">
        <v>117</v>
      </c>
      <c r="D13" t="s">
        <v>148</v>
      </c>
      <c r="E13" t="s">
        <v>10</v>
      </c>
      <c r="F13" s="20">
        <v>45233</v>
      </c>
    </row>
    <row r="14" spans="1:7" x14ac:dyDescent="0.25">
      <c r="A14">
        <v>611</v>
      </c>
      <c r="B14" t="s">
        <v>140</v>
      </c>
      <c r="C14" t="s">
        <v>117</v>
      </c>
      <c r="D14" t="s">
        <v>148</v>
      </c>
      <c r="E14" t="s">
        <v>195</v>
      </c>
      <c r="F14" s="20">
        <v>45234</v>
      </c>
    </row>
    <row r="15" spans="1:7" x14ac:dyDescent="0.25">
      <c r="A15">
        <v>611</v>
      </c>
      <c r="B15" t="s">
        <v>140</v>
      </c>
      <c r="C15" t="s">
        <v>117</v>
      </c>
      <c r="D15" t="s">
        <v>148</v>
      </c>
      <c r="E15" t="s">
        <v>11</v>
      </c>
      <c r="F15" s="20">
        <v>45235</v>
      </c>
    </row>
    <row r="16" spans="1:7" x14ac:dyDescent="0.25">
      <c r="A16">
        <v>611</v>
      </c>
      <c r="B16" t="s">
        <v>140</v>
      </c>
      <c r="C16" t="s">
        <v>117</v>
      </c>
      <c r="D16" t="s">
        <v>148</v>
      </c>
      <c r="E16" t="s">
        <v>12</v>
      </c>
      <c r="F16" s="20">
        <v>45289</v>
      </c>
    </row>
    <row r="17" spans="1:6" x14ac:dyDescent="0.25">
      <c r="A17">
        <v>399</v>
      </c>
      <c r="B17" t="s">
        <v>135</v>
      </c>
      <c r="C17" t="s">
        <v>110</v>
      </c>
      <c r="D17" t="s">
        <v>75</v>
      </c>
      <c r="E17" t="s">
        <v>9</v>
      </c>
      <c r="F17" s="20">
        <v>45267</v>
      </c>
    </row>
    <row r="18" spans="1:6" x14ac:dyDescent="0.25">
      <c r="A18">
        <v>399</v>
      </c>
      <c r="B18" t="s">
        <v>135</v>
      </c>
      <c r="C18" t="s">
        <v>110</v>
      </c>
      <c r="D18" t="s">
        <v>75</v>
      </c>
      <c r="E18" t="s">
        <v>10</v>
      </c>
      <c r="F18" s="20">
        <v>45280</v>
      </c>
    </row>
    <row r="19" spans="1:6" x14ac:dyDescent="0.25">
      <c r="A19">
        <v>399</v>
      </c>
      <c r="B19" t="s">
        <v>135</v>
      </c>
      <c r="C19" t="s">
        <v>110</v>
      </c>
      <c r="D19" t="s">
        <v>75</v>
      </c>
      <c r="E19" t="s">
        <v>195</v>
      </c>
      <c r="F19" s="20">
        <v>45281</v>
      </c>
    </row>
    <row r="20" spans="1:6" x14ac:dyDescent="0.25">
      <c r="A20">
        <v>399</v>
      </c>
      <c r="B20" t="s">
        <v>135</v>
      </c>
      <c r="C20" t="s">
        <v>110</v>
      </c>
      <c r="D20" t="s">
        <v>75</v>
      </c>
      <c r="E20" t="s">
        <v>11</v>
      </c>
      <c r="F20" s="20">
        <v>45289</v>
      </c>
    </row>
    <row r="21" spans="1:6" x14ac:dyDescent="0.25">
      <c r="A21">
        <v>399</v>
      </c>
      <c r="B21" t="s">
        <v>135</v>
      </c>
      <c r="C21" t="s">
        <v>110</v>
      </c>
      <c r="D21" t="s">
        <v>75</v>
      </c>
      <c r="E21" t="s">
        <v>12</v>
      </c>
      <c r="F21" s="20">
        <v>45322</v>
      </c>
    </row>
    <row r="22" spans="1:6" x14ac:dyDescent="0.25">
      <c r="A22">
        <v>373</v>
      </c>
      <c r="B22" t="s">
        <v>62</v>
      </c>
      <c r="C22" t="s">
        <v>115</v>
      </c>
      <c r="D22" t="s">
        <v>63</v>
      </c>
      <c r="E22" t="s">
        <v>9</v>
      </c>
      <c r="F22" s="20">
        <v>44562</v>
      </c>
    </row>
    <row r="23" spans="1:6" x14ac:dyDescent="0.25">
      <c r="A23">
        <v>373</v>
      </c>
      <c r="B23" t="s">
        <v>62</v>
      </c>
      <c r="C23" t="s">
        <v>115</v>
      </c>
      <c r="D23" t="s">
        <v>63</v>
      </c>
      <c r="E23" t="s">
        <v>10</v>
      </c>
      <c r="F23" s="20">
        <v>44562</v>
      </c>
    </row>
    <row r="24" spans="1:6" x14ac:dyDescent="0.25">
      <c r="A24">
        <v>373</v>
      </c>
      <c r="B24" t="s">
        <v>62</v>
      </c>
      <c r="C24" t="s">
        <v>115</v>
      </c>
      <c r="D24" t="s">
        <v>63</v>
      </c>
      <c r="E24" t="s">
        <v>195</v>
      </c>
      <c r="F24" s="20">
        <v>44927</v>
      </c>
    </row>
    <row r="25" spans="1:6" x14ac:dyDescent="0.25">
      <c r="A25">
        <v>373</v>
      </c>
      <c r="B25" t="s">
        <v>62</v>
      </c>
      <c r="C25" t="s">
        <v>115</v>
      </c>
      <c r="D25" t="s">
        <v>63</v>
      </c>
      <c r="E25" t="s">
        <v>11</v>
      </c>
      <c r="F25" s="20">
        <v>44927</v>
      </c>
    </row>
    <row r="26" spans="1:6" x14ac:dyDescent="0.25">
      <c r="A26">
        <v>373</v>
      </c>
      <c r="B26" t="s">
        <v>62</v>
      </c>
      <c r="C26" t="s">
        <v>115</v>
      </c>
      <c r="D26" t="s">
        <v>63</v>
      </c>
      <c r="E26" t="s">
        <v>12</v>
      </c>
      <c r="F26" s="36">
        <v>0</v>
      </c>
    </row>
    <row r="27" spans="1:6" x14ac:dyDescent="0.25">
      <c r="A27">
        <v>609</v>
      </c>
      <c r="B27" t="s">
        <v>55</v>
      </c>
      <c r="C27" t="s">
        <v>117</v>
      </c>
      <c r="D27" t="s">
        <v>52</v>
      </c>
      <c r="E27" t="s">
        <v>9</v>
      </c>
      <c r="F27" s="36">
        <v>0</v>
      </c>
    </row>
    <row r="28" spans="1:6" x14ac:dyDescent="0.25">
      <c r="A28">
        <v>609</v>
      </c>
      <c r="B28" t="s">
        <v>55</v>
      </c>
      <c r="C28" t="s">
        <v>117</v>
      </c>
      <c r="D28" t="s">
        <v>52</v>
      </c>
      <c r="E28" t="s">
        <v>10</v>
      </c>
      <c r="F28" s="36">
        <v>0</v>
      </c>
    </row>
    <row r="29" spans="1:6" x14ac:dyDescent="0.25">
      <c r="A29">
        <v>609</v>
      </c>
      <c r="B29" t="s">
        <v>55</v>
      </c>
      <c r="C29" t="s">
        <v>117</v>
      </c>
      <c r="D29" t="s">
        <v>52</v>
      </c>
      <c r="E29" t="s">
        <v>195</v>
      </c>
      <c r="F29" s="36">
        <v>0</v>
      </c>
    </row>
    <row r="30" spans="1:6" x14ac:dyDescent="0.25">
      <c r="A30">
        <v>609</v>
      </c>
      <c r="B30" t="s">
        <v>55</v>
      </c>
      <c r="C30" t="s">
        <v>117</v>
      </c>
      <c r="D30" t="s">
        <v>52</v>
      </c>
      <c r="E30" t="s">
        <v>11</v>
      </c>
      <c r="F30" s="36">
        <v>0</v>
      </c>
    </row>
    <row r="31" spans="1:6" x14ac:dyDescent="0.25">
      <c r="A31">
        <v>609</v>
      </c>
      <c r="B31" t="s">
        <v>55</v>
      </c>
      <c r="C31" t="s">
        <v>117</v>
      </c>
      <c r="D31" t="s">
        <v>52</v>
      </c>
      <c r="E31" t="s">
        <v>12</v>
      </c>
      <c r="F31" s="36">
        <v>0</v>
      </c>
    </row>
    <row r="32" spans="1:6" x14ac:dyDescent="0.25">
      <c r="A32">
        <v>462</v>
      </c>
      <c r="B32" t="s">
        <v>125</v>
      </c>
      <c r="C32" t="s">
        <v>116</v>
      </c>
      <c r="D32" t="s">
        <v>34</v>
      </c>
      <c r="E32" t="s">
        <v>9</v>
      </c>
      <c r="F32" s="20">
        <v>45245</v>
      </c>
    </row>
    <row r="33" spans="1:6" x14ac:dyDescent="0.25">
      <c r="A33">
        <v>462</v>
      </c>
      <c r="B33" t="s">
        <v>125</v>
      </c>
      <c r="C33" t="s">
        <v>116</v>
      </c>
      <c r="D33" t="s">
        <v>34</v>
      </c>
      <c r="E33" t="s">
        <v>10</v>
      </c>
      <c r="F33" s="20">
        <v>45254</v>
      </c>
    </row>
    <row r="34" spans="1:6" x14ac:dyDescent="0.25">
      <c r="A34">
        <v>462</v>
      </c>
      <c r="B34" t="s">
        <v>125</v>
      </c>
      <c r="C34" t="s">
        <v>116</v>
      </c>
      <c r="D34" t="s">
        <v>34</v>
      </c>
      <c r="E34" t="s">
        <v>195</v>
      </c>
      <c r="F34" s="20">
        <v>45259</v>
      </c>
    </row>
    <row r="35" spans="1:6" x14ac:dyDescent="0.25">
      <c r="A35">
        <v>462</v>
      </c>
      <c r="B35" t="s">
        <v>125</v>
      </c>
      <c r="C35" t="s">
        <v>116</v>
      </c>
      <c r="D35" t="s">
        <v>34</v>
      </c>
      <c r="E35" t="s">
        <v>11</v>
      </c>
      <c r="F35" s="20">
        <v>45274</v>
      </c>
    </row>
    <row r="36" spans="1:6" x14ac:dyDescent="0.25">
      <c r="A36">
        <v>462</v>
      </c>
      <c r="B36" t="s">
        <v>125</v>
      </c>
      <c r="C36" t="s">
        <v>116</v>
      </c>
      <c r="D36" t="s">
        <v>34</v>
      </c>
      <c r="E36" t="s">
        <v>12</v>
      </c>
      <c r="F36" s="20">
        <v>45280</v>
      </c>
    </row>
    <row r="37" spans="1:6" x14ac:dyDescent="0.25">
      <c r="A37">
        <v>467</v>
      </c>
      <c r="B37" t="s">
        <v>72</v>
      </c>
      <c r="C37" t="s">
        <v>110</v>
      </c>
      <c r="D37" t="s">
        <v>75</v>
      </c>
      <c r="E37" t="s">
        <v>9</v>
      </c>
      <c r="F37" s="20">
        <v>45252</v>
      </c>
    </row>
    <row r="38" spans="1:6" x14ac:dyDescent="0.25">
      <c r="A38">
        <v>467</v>
      </c>
      <c r="B38" t="s">
        <v>72</v>
      </c>
      <c r="C38" t="s">
        <v>110</v>
      </c>
      <c r="D38" t="s">
        <v>75</v>
      </c>
      <c r="E38" t="s">
        <v>10</v>
      </c>
      <c r="F38" s="20">
        <v>45259</v>
      </c>
    </row>
    <row r="39" spans="1:6" x14ac:dyDescent="0.25">
      <c r="A39">
        <v>467</v>
      </c>
      <c r="B39" t="s">
        <v>72</v>
      </c>
      <c r="C39" t="s">
        <v>110</v>
      </c>
      <c r="D39" t="s">
        <v>75</v>
      </c>
      <c r="E39" t="s">
        <v>195</v>
      </c>
      <c r="F39" s="20">
        <v>45264</v>
      </c>
    </row>
    <row r="40" spans="1:6" x14ac:dyDescent="0.25">
      <c r="A40">
        <v>467</v>
      </c>
      <c r="B40" t="s">
        <v>72</v>
      </c>
      <c r="C40" t="s">
        <v>110</v>
      </c>
      <c r="D40" t="s">
        <v>75</v>
      </c>
      <c r="E40" t="s">
        <v>11</v>
      </c>
      <c r="F40" s="20">
        <v>45271</v>
      </c>
    </row>
    <row r="41" spans="1:6" x14ac:dyDescent="0.25">
      <c r="A41">
        <v>467</v>
      </c>
      <c r="B41" t="s">
        <v>72</v>
      </c>
      <c r="C41" t="s">
        <v>110</v>
      </c>
      <c r="D41" t="s">
        <v>75</v>
      </c>
      <c r="E41" t="s">
        <v>12</v>
      </c>
      <c r="F41" s="36">
        <v>0</v>
      </c>
    </row>
    <row r="42" spans="1:6" x14ac:dyDescent="0.25">
      <c r="A42">
        <v>465</v>
      </c>
      <c r="B42" t="s">
        <v>98</v>
      </c>
      <c r="C42" t="s">
        <v>109</v>
      </c>
      <c r="D42" t="s">
        <v>96</v>
      </c>
      <c r="E42" t="s">
        <v>9</v>
      </c>
      <c r="F42" s="20">
        <v>45266</v>
      </c>
    </row>
    <row r="43" spans="1:6" x14ac:dyDescent="0.25">
      <c r="A43">
        <v>465</v>
      </c>
      <c r="B43" t="s">
        <v>98</v>
      </c>
      <c r="C43" t="s">
        <v>109</v>
      </c>
      <c r="D43" t="s">
        <v>96</v>
      </c>
      <c r="E43" t="s">
        <v>10</v>
      </c>
      <c r="F43" s="20">
        <v>45271</v>
      </c>
    </row>
    <row r="44" spans="1:6" x14ac:dyDescent="0.25">
      <c r="A44">
        <v>465</v>
      </c>
      <c r="B44" t="s">
        <v>98</v>
      </c>
      <c r="C44" t="s">
        <v>109</v>
      </c>
      <c r="D44" t="s">
        <v>96</v>
      </c>
      <c r="E44" t="s">
        <v>195</v>
      </c>
      <c r="F44" s="20">
        <v>45273</v>
      </c>
    </row>
    <row r="45" spans="1:6" x14ac:dyDescent="0.25">
      <c r="A45">
        <v>465</v>
      </c>
      <c r="B45" t="s">
        <v>98</v>
      </c>
      <c r="C45" t="s">
        <v>109</v>
      </c>
      <c r="D45" t="s">
        <v>96</v>
      </c>
      <c r="E45" t="s">
        <v>11</v>
      </c>
      <c r="F45" s="20">
        <v>45280</v>
      </c>
    </row>
    <row r="46" spans="1:6" x14ac:dyDescent="0.25">
      <c r="A46">
        <v>465</v>
      </c>
      <c r="B46" t="s">
        <v>98</v>
      </c>
      <c r="C46" t="s">
        <v>109</v>
      </c>
      <c r="D46" t="s">
        <v>96</v>
      </c>
      <c r="E46" t="s">
        <v>12</v>
      </c>
      <c r="F46" s="36">
        <v>0</v>
      </c>
    </row>
    <row r="47" spans="1:6" x14ac:dyDescent="0.25">
      <c r="A47">
        <v>466</v>
      </c>
      <c r="B47" t="s">
        <v>100</v>
      </c>
      <c r="C47" t="s">
        <v>109</v>
      </c>
      <c r="D47" t="s">
        <v>96</v>
      </c>
      <c r="E47" t="s">
        <v>9</v>
      </c>
      <c r="F47" s="20">
        <v>45266</v>
      </c>
    </row>
    <row r="48" spans="1:6" x14ac:dyDescent="0.25">
      <c r="A48">
        <v>466</v>
      </c>
      <c r="B48" t="s">
        <v>100</v>
      </c>
      <c r="C48" t="s">
        <v>109</v>
      </c>
      <c r="D48" t="s">
        <v>96</v>
      </c>
      <c r="E48" t="s">
        <v>10</v>
      </c>
      <c r="F48" s="20">
        <v>45272</v>
      </c>
    </row>
    <row r="49" spans="1:6" x14ac:dyDescent="0.25">
      <c r="A49">
        <v>466</v>
      </c>
      <c r="B49" t="s">
        <v>100</v>
      </c>
      <c r="C49" t="s">
        <v>109</v>
      </c>
      <c r="D49" t="s">
        <v>96</v>
      </c>
      <c r="E49" t="s">
        <v>195</v>
      </c>
      <c r="F49" s="20">
        <v>45274</v>
      </c>
    </row>
    <row r="50" spans="1:6" x14ac:dyDescent="0.25">
      <c r="A50">
        <v>466</v>
      </c>
      <c r="B50" t="s">
        <v>100</v>
      </c>
      <c r="C50" t="s">
        <v>109</v>
      </c>
      <c r="D50" t="s">
        <v>96</v>
      </c>
      <c r="E50" t="s">
        <v>11</v>
      </c>
      <c r="F50" s="20">
        <v>45280</v>
      </c>
    </row>
    <row r="51" spans="1:6" x14ac:dyDescent="0.25">
      <c r="A51">
        <v>466</v>
      </c>
      <c r="B51" t="s">
        <v>100</v>
      </c>
      <c r="C51" t="s">
        <v>109</v>
      </c>
      <c r="D51" t="s">
        <v>96</v>
      </c>
      <c r="E51" t="s">
        <v>12</v>
      </c>
      <c r="F51" s="36">
        <v>0</v>
      </c>
    </row>
    <row r="52" spans="1:6" x14ac:dyDescent="0.25">
      <c r="A52">
        <v>727</v>
      </c>
      <c r="B52" t="s">
        <v>66</v>
      </c>
      <c r="C52" t="s">
        <v>109</v>
      </c>
      <c r="D52" t="s">
        <v>67</v>
      </c>
      <c r="E52" t="s">
        <v>9</v>
      </c>
      <c r="F52" s="20">
        <v>45265</v>
      </c>
    </row>
    <row r="53" spans="1:6" x14ac:dyDescent="0.25">
      <c r="A53">
        <v>727</v>
      </c>
      <c r="B53" t="s">
        <v>66</v>
      </c>
      <c r="C53" t="s">
        <v>109</v>
      </c>
      <c r="D53" t="s">
        <v>67</v>
      </c>
      <c r="E53" t="s">
        <v>10</v>
      </c>
      <c r="F53" s="20">
        <v>45272</v>
      </c>
    </row>
    <row r="54" spans="1:6" x14ac:dyDescent="0.25">
      <c r="A54">
        <v>727</v>
      </c>
      <c r="B54" t="s">
        <v>66</v>
      </c>
      <c r="C54" t="s">
        <v>109</v>
      </c>
      <c r="D54" t="s">
        <v>67</v>
      </c>
      <c r="E54" t="s">
        <v>195</v>
      </c>
      <c r="F54" s="20">
        <v>45274</v>
      </c>
    </row>
    <row r="55" spans="1:6" x14ac:dyDescent="0.25">
      <c r="A55">
        <v>727</v>
      </c>
      <c r="B55" t="s">
        <v>66</v>
      </c>
      <c r="C55" t="s">
        <v>109</v>
      </c>
      <c r="D55" t="s">
        <v>67</v>
      </c>
      <c r="E55" t="s">
        <v>11</v>
      </c>
      <c r="F55" s="20">
        <v>45280</v>
      </c>
    </row>
    <row r="56" spans="1:6" x14ac:dyDescent="0.25">
      <c r="A56">
        <v>727</v>
      </c>
      <c r="B56" t="s">
        <v>66</v>
      </c>
      <c r="C56" t="s">
        <v>109</v>
      </c>
      <c r="D56" t="s">
        <v>67</v>
      </c>
      <c r="E56" t="s">
        <v>12</v>
      </c>
      <c r="F56" s="36">
        <v>0</v>
      </c>
    </row>
    <row r="57" spans="1:6" x14ac:dyDescent="0.25">
      <c r="A57">
        <v>742</v>
      </c>
      <c r="B57" t="s">
        <v>60</v>
      </c>
      <c r="C57" t="s">
        <v>117</v>
      </c>
      <c r="D57" t="s">
        <v>52</v>
      </c>
      <c r="E57" t="s">
        <v>9</v>
      </c>
      <c r="F57" s="36">
        <v>0</v>
      </c>
    </row>
    <row r="58" spans="1:6" x14ac:dyDescent="0.25">
      <c r="A58">
        <v>742</v>
      </c>
      <c r="B58" t="s">
        <v>60</v>
      </c>
      <c r="C58" t="s">
        <v>117</v>
      </c>
      <c r="D58" t="s">
        <v>52</v>
      </c>
      <c r="E58" t="s">
        <v>10</v>
      </c>
      <c r="F58" s="36">
        <v>0</v>
      </c>
    </row>
    <row r="59" spans="1:6" x14ac:dyDescent="0.25">
      <c r="A59">
        <v>742</v>
      </c>
      <c r="B59" t="s">
        <v>60</v>
      </c>
      <c r="C59" t="s">
        <v>117</v>
      </c>
      <c r="D59" t="s">
        <v>52</v>
      </c>
      <c r="E59" t="s">
        <v>195</v>
      </c>
      <c r="F59" s="36">
        <v>0</v>
      </c>
    </row>
    <row r="60" spans="1:6" x14ac:dyDescent="0.25">
      <c r="A60">
        <v>742</v>
      </c>
      <c r="B60" t="s">
        <v>60</v>
      </c>
      <c r="C60" t="s">
        <v>117</v>
      </c>
      <c r="D60" t="s">
        <v>52</v>
      </c>
      <c r="E60" t="s">
        <v>11</v>
      </c>
      <c r="F60" s="36">
        <v>0</v>
      </c>
    </row>
    <row r="61" spans="1:6" x14ac:dyDescent="0.25">
      <c r="A61">
        <v>742</v>
      </c>
      <c r="B61" t="s">
        <v>60</v>
      </c>
      <c r="C61" t="s">
        <v>117</v>
      </c>
      <c r="D61" t="s">
        <v>52</v>
      </c>
      <c r="E61" t="s">
        <v>12</v>
      </c>
      <c r="F61" s="36">
        <v>0</v>
      </c>
    </row>
    <row r="62" spans="1:6" x14ac:dyDescent="0.25">
      <c r="A62">
        <v>792</v>
      </c>
      <c r="B62" t="s">
        <v>70</v>
      </c>
      <c r="C62" t="s">
        <v>109</v>
      </c>
      <c r="D62" t="s">
        <v>67</v>
      </c>
      <c r="E62" t="s">
        <v>9</v>
      </c>
      <c r="F62" s="20">
        <v>45265</v>
      </c>
    </row>
    <row r="63" spans="1:6" x14ac:dyDescent="0.25">
      <c r="A63">
        <v>792</v>
      </c>
      <c r="B63" t="s">
        <v>70</v>
      </c>
      <c r="C63" t="s">
        <v>109</v>
      </c>
      <c r="D63" t="s">
        <v>67</v>
      </c>
      <c r="E63" t="s">
        <v>10</v>
      </c>
      <c r="F63" s="20">
        <v>45270</v>
      </c>
    </row>
    <row r="64" spans="1:6" x14ac:dyDescent="0.25">
      <c r="A64">
        <v>792</v>
      </c>
      <c r="B64" t="s">
        <v>70</v>
      </c>
      <c r="C64" t="s">
        <v>109</v>
      </c>
      <c r="D64" t="s">
        <v>67</v>
      </c>
      <c r="E64" t="s">
        <v>195</v>
      </c>
      <c r="F64" s="20">
        <v>45271</v>
      </c>
    </row>
    <row r="65" spans="1:6" x14ac:dyDescent="0.25">
      <c r="A65">
        <v>792</v>
      </c>
      <c r="B65" t="s">
        <v>70</v>
      </c>
      <c r="C65" t="s">
        <v>109</v>
      </c>
      <c r="D65" t="s">
        <v>67</v>
      </c>
      <c r="E65" t="s">
        <v>11</v>
      </c>
      <c r="F65" s="20">
        <v>45280</v>
      </c>
    </row>
    <row r="66" spans="1:6" x14ac:dyDescent="0.25">
      <c r="A66">
        <v>792</v>
      </c>
      <c r="B66" t="s">
        <v>70</v>
      </c>
      <c r="C66" t="s">
        <v>109</v>
      </c>
      <c r="D66" t="s">
        <v>67</v>
      </c>
      <c r="E66" t="s">
        <v>12</v>
      </c>
      <c r="F66" s="36">
        <v>0</v>
      </c>
    </row>
    <row r="67" spans="1:6" x14ac:dyDescent="0.25">
      <c r="A67">
        <v>723</v>
      </c>
      <c r="B67" t="s">
        <v>89</v>
      </c>
      <c r="C67" t="s">
        <v>111</v>
      </c>
      <c r="D67" t="s">
        <v>84</v>
      </c>
      <c r="E67" t="s">
        <v>9</v>
      </c>
      <c r="F67" s="20">
        <v>45260</v>
      </c>
    </row>
    <row r="68" spans="1:6" x14ac:dyDescent="0.25">
      <c r="A68">
        <v>723</v>
      </c>
      <c r="B68" t="s">
        <v>89</v>
      </c>
      <c r="C68" t="s">
        <v>111</v>
      </c>
      <c r="D68" t="s">
        <v>84</v>
      </c>
      <c r="E68" t="s">
        <v>10</v>
      </c>
      <c r="F68" s="20">
        <v>45264</v>
      </c>
    </row>
    <row r="69" spans="1:6" x14ac:dyDescent="0.25">
      <c r="A69">
        <v>723</v>
      </c>
      <c r="B69" t="s">
        <v>89</v>
      </c>
      <c r="C69" t="s">
        <v>111</v>
      </c>
      <c r="D69" t="s">
        <v>84</v>
      </c>
      <c r="E69" t="s">
        <v>195</v>
      </c>
      <c r="F69" s="20">
        <v>45266</v>
      </c>
    </row>
    <row r="70" spans="1:6" x14ac:dyDescent="0.25">
      <c r="A70">
        <v>723</v>
      </c>
      <c r="B70" t="s">
        <v>89</v>
      </c>
      <c r="C70" t="s">
        <v>111</v>
      </c>
      <c r="D70" t="s">
        <v>84</v>
      </c>
      <c r="E70" t="s">
        <v>11</v>
      </c>
      <c r="F70" s="20">
        <v>45282</v>
      </c>
    </row>
    <row r="71" spans="1:6" x14ac:dyDescent="0.25">
      <c r="A71">
        <v>723</v>
      </c>
      <c r="B71" t="s">
        <v>89</v>
      </c>
      <c r="C71" t="s">
        <v>111</v>
      </c>
      <c r="D71" t="s">
        <v>84</v>
      </c>
      <c r="E71" t="s">
        <v>12</v>
      </c>
      <c r="F71" s="36">
        <v>0</v>
      </c>
    </row>
    <row r="72" spans="1:6" x14ac:dyDescent="0.25">
      <c r="A72">
        <v>386</v>
      </c>
      <c r="B72" t="s">
        <v>25</v>
      </c>
      <c r="C72" t="s">
        <v>115</v>
      </c>
      <c r="D72" t="s">
        <v>28</v>
      </c>
      <c r="E72" t="s">
        <v>9</v>
      </c>
      <c r="F72" s="20">
        <v>45231</v>
      </c>
    </row>
    <row r="73" spans="1:6" x14ac:dyDescent="0.25">
      <c r="A73">
        <v>386</v>
      </c>
      <c r="B73" t="s">
        <v>25</v>
      </c>
      <c r="C73" t="s">
        <v>115</v>
      </c>
      <c r="D73" t="s">
        <v>28</v>
      </c>
      <c r="E73" t="s">
        <v>10</v>
      </c>
      <c r="F73" s="20">
        <v>45238</v>
      </c>
    </row>
    <row r="74" spans="1:6" x14ac:dyDescent="0.25">
      <c r="A74">
        <v>386</v>
      </c>
      <c r="B74" t="s">
        <v>25</v>
      </c>
      <c r="C74" t="s">
        <v>115</v>
      </c>
      <c r="D74" t="s">
        <v>28</v>
      </c>
      <c r="E74" t="s">
        <v>195</v>
      </c>
      <c r="F74" s="20">
        <v>45246</v>
      </c>
    </row>
    <row r="75" spans="1:6" x14ac:dyDescent="0.25">
      <c r="A75">
        <v>386</v>
      </c>
      <c r="B75" t="s">
        <v>25</v>
      </c>
      <c r="C75" t="s">
        <v>115</v>
      </c>
      <c r="D75" t="s">
        <v>28</v>
      </c>
      <c r="E75" t="s">
        <v>11</v>
      </c>
      <c r="F75" s="20">
        <v>45250</v>
      </c>
    </row>
    <row r="76" spans="1:6" x14ac:dyDescent="0.25">
      <c r="A76">
        <v>386</v>
      </c>
      <c r="B76" t="s">
        <v>25</v>
      </c>
      <c r="C76" t="s">
        <v>115</v>
      </c>
      <c r="D76" t="s">
        <v>28</v>
      </c>
      <c r="E76" t="s">
        <v>12</v>
      </c>
      <c r="F76" s="36">
        <v>0</v>
      </c>
    </row>
    <row r="77" spans="1:6" x14ac:dyDescent="0.25">
      <c r="A77">
        <v>387</v>
      </c>
      <c r="B77" t="s">
        <v>95</v>
      </c>
      <c r="C77" t="s">
        <v>191</v>
      </c>
      <c r="D77" t="s">
        <v>96</v>
      </c>
      <c r="E77" t="s">
        <v>9</v>
      </c>
      <c r="F77" s="20">
        <v>45246</v>
      </c>
    </row>
    <row r="78" spans="1:6" x14ac:dyDescent="0.25">
      <c r="A78">
        <v>387</v>
      </c>
      <c r="B78" t="s">
        <v>95</v>
      </c>
      <c r="C78" t="s">
        <v>191</v>
      </c>
      <c r="D78" t="s">
        <v>96</v>
      </c>
      <c r="E78" t="s">
        <v>10</v>
      </c>
      <c r="F78" s="20">
        <v>45253</v>
      </c>
    </row>
    <row r="79" spans="1:6" x14ac:dyDescent="0.25">
      <c r="A79">
        <v>387</v>
      </c>
      <c r="B79" t="s">
        <v>95</v>
      </c>
      <c r="C79" t="s">
        <v>191</v>
      </c>
      <c r="D79" t="s">
        <v>96</v>
      </c>
      <c r="E79" t="s">
        <v>195</v>
      </c>
      <c r="F79" s="20">
        <v>45254</v>
      </c>
    </row>
    <row r="80" spans="1:6" x14ac:dyDescent="0.25">
      <c r="A80">
        <v>387</v>
      </c>
      <c r="B80" t="s">
        <v>95</v>
      </c>
      <c r="C80" t="s">
        <v>191</v>
      </c>
      <c r="D80" t="s">
        <v>96</v>
      </c>
      <c r="E80" t="s">
        <v>11</v>
      </c>
      <c r="F80" s="20">
        <v>45259</v>
      </c>
    </row>
    <row r="81" spans="1:6" x14ac:dyDescent="0.25">
      <c r="A81">
        <v>387</v>
      </c>
      <c r="B81" t="s">
        <v>95</v>
      </c>
      <c r="C81" t="s">
        <v>191</v>
      </c>
      <c r="D81" t="s">
        <v>96</v>
      </c>
      <c r="E81" t="s">
        <v>12</v>
      </c>
      <c r="F81" s="36">
        <v>0</v>
      </c>
    </row>
    <row r="82" spans="1:6" x14ac:dyDescent="0.25">
      <c r="A82">
        <v>383</v>
      </c>
      <c r="B82" t="s">
        <v>21</v>
      </c>
      <c r="C82" t="s">
        <v>111</v>
      </c>
      <c r="D82" t="s">
        <v>24</v>
      </c>
      <c r="E82" t="s">
        <v>9</v>
      </c>
      <c r="F82" s="20">
        <v>45252</v>
      </c>
    </row>
    <row r="83" spans="1:6" x14ac:dyDescent="0.25">
      <c r="A83">
        <v>383</v>
      </c>
      <c r="B83" t="s">
        <v>21</v>
      </c>
      <c r="C83" t="s">
        <v>111</v>
      </c>
      <c r="D83" t="s">
        <v>24</v>
      </c>
      <c r="E83" t="s">
        <v>10</v>
      </c>
      <c r="F83" s="20">
        <v>45268</v>
      </c>
    </row>
    <row r="84" spans="1:6" x14ac:dyDescent="0.25">
      <c r="A84">
        <v>383</v>
      </c>
      <c r="B84" t="s">
        <v>21</v>
      </c>
      <c r="C84" t="s">
        <v>111</v>
      </c>
      <c r="D84" t="s">
        <v>24</v>
      </c>
      <c r="E84" t="s">
        <v>195</v>
      </c>
      <c r="F84" s="20">
        <v>45272</v>
      </c>
    </row>
    <row r="85" spans="1:6" x14ac:dyDescent="0.25">
      <c r="A85">
        <v>383</v>
      </c>
      <c r="B85" t="s">
        <v>21</v>
      </c>
      <c r="C85" t="s">
        <v>111</v>
      </c>
      <c r="D85" t="s">
        <v>24</v>
      </c>
      <c r="E85" t="s">
        <v>11</v>
      </c>
      <c r="F85" s="20">
        <v>45277</v>
      </c>
    </row>
    <row r="86" spans="1:6" x14ac:dyDescent="0.25">
      <c r="A86">
        <v>383</v>
      </c>
      <c r="B86" t="s">
        <v>21</v>
      </c>
      <c r="C86" t="s">
        <v>111</v>
      </c>
      <c r="D86" t="s">
        <v>24</v>
      </c>
      <c r="E86" t="s">
        <v>12</v>
      </c>
      <c r="F86" s="36">
        <v>0</v>
      </c>
    </row>
    <row r="87" spans="1:6" x14ac:dyDescent="0.25">
      <c r="A87">
        <v>849</v>
      </c>
      <c r="B87" t="s">
        <v>31</v>
      </c>
      <c r="C87" t="s">
        <v>115</v>
      </c>
      <c r="D87" t="s">
        <v>28</v>
      </c>
      <c r="E87" t="s">
        <v>9</v>
      </c>
      <c r="F87" s="20">
        <v>45232</v>
      </c>
    </row>
    <row r="88" spans="1:6" x14ac:dyDescent="0.25">
      <c r="A88">
        <v>849</v>
      </c>
      <c r="B88" t="s">
        <v>31</v>
      </c>
      <c r="C88" t="s">
        <v>115</v>
      </c>
      <c r="D88" t="s">
        <v>28</v>
      </c>
      <c r="E88" t="s">
        <v>10</v>
      </c>
      <c r="F88" s="20">
        <v>45240</v>
      </c>
    </row>
    <row r="89" spans="1:6" x14ac:dyDescent="0.25">
      <c r="A89">
        <v>849</v>
      </c>
      <c r="B89" t="s">
        <v>31</v>
      </c>
      <c r="C89" t="s">
        <v>115</v>
      </c>
      <c r="D89" t="s">
        <v>28</v>
      </c>
      <c r="E89" t="s">
        <v>195</v>
      </c>
      <c r="F89" s="20">
        <v>45247</v>
      </c>
    </row>
    <row r="90" spans="1:6" x14ac:dyDescent="0.25">
      <c r="A90">
        <v>849</v>
      </c>
      <c r="B90" t="s">
        <v>31</v>
      </c>
      <c r="C90" t="s">
        <v>115</v>
      </c>
      <c r="D90" t="s">
        <v>28</v>
      </c>
      <c r="E90" t="s">
        <v>11</v>
      </c>
      <c r="F90" s="20">
        <v>45250</v>
      </c>
    </row>
    <row r="91" spans="1:6" x14ac:dyDescent="0.25">
      <c r="A91">
        <v>849</v>
      </c>
      <c r="B91" t="s">
        <v>31</v>
      </c>
      <c r="C91" t="s">
        <v>115</v>
      </c>
      <c r="D91" t="s">
        <v>28</v>
      </c>
      <c r="E91" t="s">
        <v>12</v>
      </c>
      <c r="F91" s="36">
        <v>0</v>
      </c>
    </row>
    <row r="92" spans="1:6" x14ac:dyDescent="0.25">
      <c r="A92">
        <v>642</v>
      </c>
      <c r="B92" t="s">
        <v>13</v>
      </c>
      <c r="C92" t="s">
        <v>114</v>
      </c>
      <c r="D92" t="s">
        <v>18</v>
      </c>
      <c r="E92" t="s">
        <v>9</v>
      </c>
      <c r="F92" s="20">
        <v>45258</v>
      </c>
    </row>
    <row r="93" spans="1:6" x14ac:dyDescent="0.25">
      <c r="A93">
        <v>642</v>
      </c>
      <c r="B93" t="s">
        <v>13</v>
      </c>
      <c r="C93" t="s">
        <v>114</v>
      </c>
      <c r="D93" t="s">
        <v>18</v>
      </c>
      <c r="E93" t="s">
        <v>10</v>
      </c>
      <c r="F93" s="20">
        <v>45265</v>
      </c>
    </row>
    <row r="94" spans="1:6" x14ac:dyDescent="0.25">
      <c r="A94">
        <v>642</v>
      </c>
      <c r="B94" t="s">
        <v>13</v>
      </c>
      <c r="C94" t="s">
        <v>114</v>
      </c>
      <c r="D94" t="s">
        <v>18</v>
      </c>
      <c r="E94" t="s">
        <v>195</v>
      </c>
      <c r="F94" s="20">
        <v>45274</v>
      </c>
    </row>
    <row r="95" spans="1:6" x14ac:dyDescent="0.25">
      <c r="A95">
        <v>642</v>
      </c>
      <c r="B95" t="s">
        <v>13</v>
      </c>
      <c r="C95" t="s">
        <v>114</v>
      </c>
      <c r="D95" t="s">
        <v>18</v>
      </c>
      <c r="E95" t="s">
        <v>11</v>
      </c>
      <c r="F95" s="20">
        <v>45280</v>
      </c>
    </row>
    <row r="96" spans="1:6" x14ac:dyDescent="0.25">
      <c r="A96">
        <v>642</v>
      </c>
      <c r="B96" t="s">
        <v>13</v>
      </c>
      <c r="C96" t="s">
        <v>114</v>
      </c>
      <c r="D96" t="s">
        <v>18</v>
      </c>
      <c r="E96" t="s">
        <v>12</v>
      </c>
      <c r="F96" s="36">
        <v>0</v>
      </c>
    </row>
    <row r="97" spans="1:6" x14ac:dyDescent="0.25">
      <c r="A97">
        <v>655</v>
      </c>
      <c r="B97" t="s">
        <v>76</v>
      </c>
      <c r="C97" t="s">
        <v>113</v>
      </c>
      <c r="D97" t="s">
        <v>77</v>
      </c>
      <c r="E97" t="s">
        <v>9</v>
      </c>
      <c r="F97" s="20">
        <v>45247</v>
      </c>
    </row>
    <row r="98" spans="1:6" x14ac:dyDescent="0.25">
      <c r="A98">
        <v>655</v>
      </c>
      <c r="B98" t="s">
        <v>76</v>
      </c>
      <c r="C98" t="s">
        <v>113</v>
      </c>
      <c r="D98" t="s">
        <v>77</v>
      </c>
      <c r="E98" t="s">
        <v>10</v>
      </c>
      <c r="F98" s="20">
        <v>45251</v>
      </c>
    </row>
    <row r="99" spans="1:6" x14ac:dyDescent="0.25">
      <c r="A99">
        <v>655</v>
      </c>
      <c r="B99" t="s">
        <v>76</v>
      </c>
      <c r="C99" t="s">
        <v>113</v>
      </c>
      <c r="D99" t="s">
        <v>77</v>
      </c>
      <c r="E99" t="s">
        <v>195</v>
      </c>
      <c r="F99" s="20">
        <v>45251</v>
      </c>
    </row>
    <row r="100" spans="1:6" x14ac:dyDescent="0.25">
      <c r="A100">
        <v>655</v>
      </c>
      <c r="B100" t="s">
        <v>76</v>
      </c>
      <c r="C100" t="s">
        <v>113</v>
      </c>
      <c r="D100" t="s">
        <v>77</v>
      </c>
      <c r="E100" t="s">
        <v>11</v>
      </c>
      <c r="F100" s="20">
        <v>45272</v>
      </c>
    </row>
    <row r="101" spans="1:6" x14ac:dyDescent="0.25">
      <c r="A101">
        <v>655</v>
      </c>
      <c r="B101" t="s">
        <v>76</v>
      </c>
      <c r="C101" t="s">
        <v>113</v>
      </c>
      <c r="D101" t="s">
        <v>77</v>
      </c>
      <c r="E101" t="s">
        <v>12</v>
      </c>
      <c r="F101" s="36">
        <v>0</v>
      </c>
    </row>
    <row r="102" spans="1:6" x14ac:dyDescent="0.25">
      <c r="A102">
        <v>647</v>
      </c>
      <c r="B102" t="s">
        <v>65</v>
      </c>
      <c r="C102" t="s">
        <v>115</v>
      </c>
      <c r="D102" t="s">
        <v>63</v>
      </c>
      <c r="E102" t="s">
        <v>9</v>
      </c>
      <c r="F102" s="20">
        <v>45250</v>
      </c>
    </row>
    <row r="103" spans="1:6" x14ac:dyDescent="0.25">
      <c r="A103">
        <v>647</v>
      </c>
      <c r="B103" t="s">
        <v>65</v>
      </c>
      <c r="C103" t="s">
        <v>115</v>
      </c>
      <c r="D103" t="s">
        <v>63</v>
      </c>
      <c r="E103" t="s">
        <v>10</v>
      </c>
      <c r="F103" s="20">
        <v>45258</v>
      </c>
    </row>
    <row r="104" spans="1:6" x14ac:dyDescent="0.25">
      <c r="A104">
        <v>647</v>
      </c>
      <c r="B104" t="s">
        <v>65</v>
      </c>
      <c r="C104" t="s">
        <v>115</v>
      </c>
      <c r="D104" t="s">
        <v>63</v>
      </c>
      <c r="E104" t="s">
        <v>195</v>
      </c>
      <c r="F104" s="20">
        <v>45259</v>
      </c>
    </row>
    <row r="105" spans="1:6" x14ac:dyDescent="0.25">
      <c r="A105">
        <v>647</v>
      </c>
      <c r="B105" t="s">
        <v>65</v>
      </c>
      <c r="C105" t="s">
        <v>115</v>
      </c>
      <c r="D105" t="s">
        <v>63</v>
      </c>
      <c r="E105" t="s">
        <v>11</v>
      </c>
      <c r="F105" s="20">
        <v>45260</v>
      </c>
    </row>
    <row r="106" spans="1:6" x14ac:dyDescent="0.25">
      <c r="A106">
        <v>647</v>
      </c>
      <c r="B106" t="s">
        <v>65</v>
      </c>
      <c r="C106" t="s">
        <v>115</v>
      </c>
      <c r="D106" t="s">
        <v>63</v>
      </c>
      <c r="E106" t="s">
        <v>12</v>
      </c>
      <c r="F106" s="36">
        <v>0</v>
      </c>
    </row>
    <row r="107" spans="1:6" x14ac:dyDescent="0.25">
      <c r="A107">
        <v>668</v>
      </c>
      <c r="B107" t="s">
        <v>58</v>
      </c>
      <c r="C107" t="s">
        <v>117</v>
      </c>
      <c r="D107" t="s">
        <v>52</v>
      </c>
      <c r="E107" t="s">
        <v>9</v>
      </c>
      <c r="F107" s="36">
        <v>0</v>
      </c>
    </row>
    <row r="108" spans="1:6" x14ac:dyDescent="0.25">
      <c r="A108">
        <v>668</v>
      </c>
      <c r="B108" t="s">
        <v>58</v>
      </c>
      <c r="C108" t="s">
        <v>117</v>
      </c>
      <c r="D108" t="s">
        <v>52</v>
      </c>
      <c r="E108" t="s">
        <v>10</v>
      </c>
      <c r="F108" s="36">
        <v>0</v>
      </c>
    </row>
    <row r="109" spans="1:6" x14ac:dyDescent="0.25">
      <c r="A109">
        <v>668</v>
      </c>
      <c r="B109" t="s">
        <v>58</v>
      </c>
      <c r="C109" t="s">
        <v>117</v>
      </c>
      <c r="D109" t="s">
        <v>52</v>
      </c>
      <c r="E109" t="s">
        <v>195</v>
      </c>
      <c r="F109" s="36">
        <v>0</v>
      </c>
    </row>
    <row r="110" spans="1:6" x14ac:dyDescent="0.25">
      <c r="A110">
        <v>668</v>
      </c>
      <c r="B110" t="s">
        <v>58</v>
      </c>
      <c r="C110" t="s">
        <v>117</v>
      </c>
      <c r="D110" t="s">
        <v>52</v>
      </c>
      <c r="E110" t="s">
        <v>11</v>
      </c>
      <c r="F110" s="36">
        <v>0</v>
      </c>
    </row>
    <row r="111" spans="1:6" x14ac:dyDescent="0.25">
      <c r="A111">
        <v>668</v>
      </c>
      <c r="B111" t="s">
        <v>58</v>
      </c>
      <c r="C111" t="s">
        <v>117</v>
      </c>
      <c r="D111" t="s">
        <v>52</v>
      </c>
      <c r="E111" t="s">
        <v>12</v>
      </c>
      <c r="F111" s="36">
        <v>0</v>
      </c>
    </row>
    <row r="112" spans="1:6" x14ac:dyDescent="0.25">
      <c r="A112">
        <v>753</v>
      </c>
      <c r="B112" t="s">
        <v>69</v>
      </c>
      <c r="C112" t="s">
        <v>109</v>
      </c>
      <c r="D112" t="s">
        <v>67</v>
      </c>
      <c r="E112" t="s">
        <v>9</v>
      </c>
      <c r="F112" s="20">
        <v>45265</v>
      </c>
    </row>
    <row r="113" spans="1:6" x14ac:dyDescent="0.25">
      <c r="A113">
        <v>753</v>
      </c>
      <c r="B113" t="s">
        <v>69</v>
      </c>
      <c r="C113" t="s">
        <v>109</v>
      </c>
      <c r="D113" t="s">
        <v>67</v>
      </c>
      <c r="E113" t="s">
        <v>10</v>
      </c>
      <c r="F113" s="20">
        <v>45273</v>
      </c>
    </row>
    <row r="114" spans="1:6" x14ac:dyDescent="0.25">
      <c r="A114">
        <v>753</v>
      </c>
      <c r="B114" t="s">
        <v>69</v>
      </c>
      <c r="C114" t="s">
        <v>109</v>
      </c>
      <c r="D114" t="s">
        <v>67</v>
      </c>
      <c r="E114" t="s">
        <v>195</v>
      </c>
      <c r="F114" s="20">
        <v>45275</v>
      </c>
    </row>
    <row r="115" spans="1:6" x14ac:dyDescent="0.25">
      <c r="A115">
        <v>753</v>
      </c>
      <c r="B115" t="s">
        <v>69</v>
      </c>
      <c r="C115" t="s">
        <v>109</v>
      </c>
      <c r="D115" t="s">
        <v>67</v>
      </c>
      <c r="E115" t="s">
        <v>11</v>
      </c>
      <c r="F115" s="20">
        <v>45280</v>
      </c>
    </row>
    <row r="116" spans="1:6" x14ac:dyDescent="0.25">
      <c r="A116">
        <v>753</v>
      </c>
      <c r="B116" t="s">
        <v>69</v>
      </c>
      <c r="C116" t="s">
        <v>109</v>
      </c>
      <c r="D116" t="s">
        <v>67</v>
      </c>
      <c r="E116" t="s">
        <v>12</v>
      </c>
      <c r="F116" s="36">
        <v>0</v>
      </c>
    </row>
    <row r="117" spans="1:6" x14ac:dyDescent="0.25">
      <c r="A117">
        <v>190</v>
      </c>
      <c r="B117" t="s">
        <v>39</v>
      </c>
      <c r="C117" t="s">
        <v>186</v>
      </c>
      <c r="D117" t="s">
        <v>40</v>
      </c>
      <c r="E117" t="s">
        <v>9</v>
      </c>
      <c r="F117" s="20">
        <v>45252</v>
      </c>
    </row>
    <row r="118" spans="1:6" x14ac:dyDescent="0.25">
      <c r="A118">
        <v>190</v>
      </c>
      <c r="B118" t="s">
        <v>39</v>
      </c>
      <c r="C118" t="s">
        <v>186</v>
      </c>
      <c r="D118" t="s">
        <v>40</v>
      </c>
      <c r="E118" t="s">
        <v>10</v>
      </c>
      <c r="F118" s="20">
        <v>45259</v>
      </c>
    </row>
    <row r="119" spans="1:6" x14ac:dyDescent="0.25">
      <c r="A119">
        <v>190</v>
      </c>
      <c r="B119" t="s">
        <v>39</v>
      </c>
      <c r="C119" t="s">
        <v>186</v>
      </c>
      <c r="D119" t="s">
        <v>40</v>
      </c>
      <c r="E119" t="s">
        <v>195</v>
      </c>
      <c r="F119" s="20">
        <v>45266</v>
      </c>
    </row>
    <row r="120" spans="1:6" x14ac:dyDescent="0.25">
      <c r="A120">
        <v>190</v>
      </c>
      <c r="B120" t="s">
        <v>39</v>
      </c>
      <c r="C120" t="s">
        <v>186</v>
      </c>
      <c r="D120" t="s">
        <v>40</v>
      </c>
      <c r="E120" t="s">
        <v>11</v>
      </c>
      <c r="F120" s="20">
        <v>45273</v>
      </c>
    </row>
    <row r="121" spans="1:6" x14ac:dyDescent="0.25">
      <c r="A121">
        <v>190</v>
      </c>
      <c r="B121" t="s">
        <v>39</v>
      </c>
      <c r="C121" t="s">
        <v>186</v>
      </c>
      <c r="D121" t="s">
        <v>40</v>
      </c>
      <c r="E121" t="s">
        <v>12</v>
      </c>
      <c r="F121" s="36">
        <v>0</v>
      </c>
    </row>
    <row r="122" spans="1:6" x14ac:dyDescent="0.25">
      <c r="A122">
        <v>712</v>
      </c>
      <c r="B122" t="s">
        <v>145</v>
      </c>
      <c r="C122" t="s">
        <v>115</v>
      </c>
      <c r="D122" t="s">
        <v>63</v>
      </c>
      <c r="E122" t="s">
        <v>9</v>
      </c>
      <c r="F122" s="20">
        <v>45254</v>
      </c>
    </row>
    <row r="123" spans="1:6" x14ac:dyDescent="0.25">
      <c r="A123">
        <v>712</v>
      </c>
      <c r="B123" t="s">
        <v>145</v>
      </c>
      <c r="C123" t="s">
        <v>115</v>
      </c>
      <c r="D123" t="s">
        <v>63</v>
      </c>
      <c r="E123" t="s">
        <v>10</v>
      </c>
      <c r="F123" s="20">
        <v>45262</v>
      </c>
    </row>
    <row r="124" spans="1:6" x14ac:dyDescent="0.25">
      <c r="A124">
        <v>712</v>
      </c>
      <c r="B124" t="s">
        <v>145</v>
      </c>
      <c r="C124" t="s">
        <v>115</v>
      </c>
      <c r="D124" t="s">
        <v>63</v>
      </c>
      <c r="E124" t="s">
        <v>195</v>
      </c>
      <c r="F124" s="20">
        <v>45263</v>
      </c>
    </row>
    <row r="125" spans="1:6" x14ac:dyDescent="0.25">
      <c r="A125">
        <v>712</v>
      </c>
      <c r="B125" t="s">
        <v>145</v>
      </c>
      <c r="C125" t="s">
        <v>115</v>
      </c>
      <c r="D125" t="s">
        <v>63</v>
      </c>
      <c r="E125" t="s">
        <v>11</v>
      </c>
      <c r="F125" s="20">
        <v>45271</v>
      </c>
    </row>
    <row r="126" spans="1:6" x14ac:dyDescent="0.25">
      <c r="A126">
        <v>712</v>
      </c>
      <c r="B126" t="s">
        <v>145</v>
      </c>
      <c r="C126" t="s">
        <v>115</v>
      </c>
      <c r="D126" t="s">
        <v>63</v>
      </c>
      <c r="E126" t="s">
        <v>12</v>
      </c>
      <c r="F126" s="20">
        <v>45322</v>
      </c>
    </row>
    <row r="127" spans="1:6" x14ac:dyDescent="0.25">
      <c r="A127">
        <v>191</v>
      </c>
      <c r="B127" t="s">
        <v>42</v>
      </c>
      <c r="C127" t="s">
        <v>187</v>
      </c>
      <c r="D127" t="s">
        <v>40</v>
      </c>
      <c r="E127" t="s">
        <v>9</v>
      </c>
      <c r="F127" s="20">
        <v>45252</v>
      </c>
    </row>
    <row r="128" spans="1:6" x14ac:dyDescent="0.25">
      <c r="A128">
        <v>191</v>
      </c>
      <c r="B128" t="s">
        <v>42</v>
      </c>
      <c r="C128" t="s">
        <v>187</v>
      </c>
      <c r="D128" t="s">
        <v>40</v>
      </c>
      <c r="E128" t="s">
        <v>10</v>
      </c>
      <c r="F128" s="20">
        <v>45259</v>
      </c>
    </row>
    <row r="129" spans="1:6" x14ac:dyDescent="0.25">
      <c r="A129">
        <v>191</v>
      </c>
      <c r="B129" t="s">
        <v>42</v>
      </c>
      <c r="C129" t="s">
        <v>187</v>
      </c>
      <c r="D129" t="s">
        <v>40</v>
      </c>
      <c r="E129" t="s">
        <v>195</v>
      </c>
      <c r="F129" s="20">
        <v>45266</v>
      </c>
    </row>
    <row r="130" spans="1:6" x14ac:dyDescent="0.25">
      <c r="A130">
        <v>191</v>
      </c>
      <c r="B130" t="s">
        <v>42</v>
      </c>
      <c r="C130" t="s">
        <v>187</v>
      </c>
      <c r="D130" t="s">
        <v>40</v>
      </c>
      <c r="E130" t="s">
        <v>11</v>
      </c>
      <c r="F130" s="20">
        <v>45273</v>
      </c>
    </row>
    <row r="131" spans="1:6" x14ac:dyDescent="0.25">
      <c r="A131">
        <v>191</v>
      </c>
      <c r="B131" t="s">
        <v>42</v>
      </c>
      <c r="C131" t="s">
        <v>187</v>
      </c>
      <c r="D131" t="s">
        <v>40</v>
      </c>
      <c r="E131" t="s">
        <v>12</v>
      </c>
      <c r="F131" s="36">
        <v>0</v>
      </c>
    </row>
    <row r="132" spans="1:6" x14ac:dyDescent="0.25">
      <c r="A132">
        <v>18</v>
      </c>
      <c r="B132" t="s">
        <v>118</v>
      </c>
      <c r="C132" t="s">
        <v>114</v>
      </c>
      <c r="D132" t="s">
        <v>18</v>
      </c>
      <c r="E132" t="s">
        <v>9</v>
      </c>
      <c r="F132" s="20">
        <v>45246</v>
      </c>
    </row>
    <row r="133" spans="1:6" x14ac:dyDescent="0.25">
      <c r="A133">
        <v>18</v>
      </c>
      <c r="B133" t="s">
        <v>118</v>
      </c>
      <c r="C133" t="s">
        <v>114</v>
      </c>
      <c r="D133" t="s">
        <v>18</v>
      </c>
      <c r="E133" t="s">
        <v>10</v>
      </c>
      <c r="F133" s="20">
        <v>45246</v>
      </c>
    </row>
    <row r="134" spans="1:6" x14ac:dyDescent="0.25">
      <c r="A134">
        <v>18</v>
      </c>
      <c r="B134" t="s">
        <v>118</v>
      </c>
      <c r="C134" t="s">
        <v>114</v>
      </c>
      <c r="D134" t="s">
        <v>18</v>
      </c>
      <c r="E134" t="s">
        <v>195</v>
      </c>
      <c r="F134" s="20">
        <v>45254</v>
      </c>
    </row>
    <row r="135" spans="1:6" x14ac:dyDescent="0.25">
      <c r="A135">
        <v>18</v>
      </c>
      <c r="B135" t="s">
        <v>118</v>
      </c>
      <c r="C135" t="s">
        <v>114</v>
      </c>
      <c r="D135" t="s">
        <v>18</v>
      </c>
      <c r="E135" t="s">
        <v>11</v>
      </c>
      <c r="F135" s="20">
        <v>45260</v>
      </c>
    </row>
    <row r="136" spans="1:6" x14ac:dyDescent="0.25">
      <c r="A136">
        <v>18</v>
      </c>
      <c r="B136" t="s">
        <v>118</v>
      </c>
      <c r="C136" t="s">
        <v>114</v>
      </c>
      <c r="D136" t="s">
        <v>18</v>
      </c>
      <c r="E136" t="s">
        <v>12</v>
      </c>
      <c r="F136" s="20">
        <v>45265</v>
      </c>
    </row>
    <row r="137" spans="1:6" x14ac:dyDescent="0.25">
      <c r="A137">
        <v>729</v>
      </c>
      <c r="B137" t="s">
        <v>146</v>
      </c>
      <c r="C137" t="s">
        <v>115</v>
      </c>
      <c r="D137" t="s">
        <v>63</v>
      </c>
      <c r="E137" t="s">
        <v>9</v>
      </c>
      <c r="F137" s="20">
        <v>45254</v>
      </c>
    </row>
    <row r="138" spans="1:6" x14ac:dyDescent="0.25">
      <c r="A138">
        <v>729</v>
      </c>
      <c r="B138" t="s">
        <v>146</v>
      </c>
      <c r="C138" t="s">
        <v>115</v>
      </c>
      <c r="D138" t="s">
        <v>63</v>
      </c>
      <c r="E138" t="s">
        <v>10</v>
      </c>
      <c r="F138" s="20">
        <v>45264</v>
      </c>
    </row>
    <row r="139" spans="1:6" x14ac:dyDescent="0.25">
      <c r="A139">
        <v>729</v>
      </c>
      <c r="B139" t="s">
        <v>146</v>
      </c>
      <c r="C139" t="s">
        <v>115</v>
      </c>
      <c r="D139" t="s">
        <v>63</v>
      </c>
      <c r="E139" t="s">
        <v>195</v>
      </c>
      <c r="F139" s="20">
        <v>45265</v>
      </c>
    </row>
    <row r="140" spans="1:6" x14ac:dyDescent="0.25">
      <c r="A140">
        <v>729</v>
      </c>
      <c r="B140" t="s">
        <v>146</v>
      </c>
      <c r="C140" t="s">
        <v>115</v>
      </c>
      <c r="D140" t="s">
        <v>63</v>
      </c>
      <c r="E140" t="s">
        <v>11</v>
      </c>
      <c r="F140" s="20">
        <v>45271</v>
      </c>
    </row>
    <row r="141" spans="1:6" x14ac:dyDescent="0.25">
      <c r="A141">
        <v>729</v>
      </c>
      <c r="B141" t="s">
        <v>146</v>
      </c>
      <c r="C141" t="s">
        <v>115</v>
      </c>
      <c r="D141" t="s">
        <v>63</v>
      </c>
      <c r="E141" t="s">
        <v>12</v>
      </c>
      <c r="F141" s="20">
        <v>45322</v>
      </c>
    </row>
    <row r="142" spans="1:6" x14ac:dyDescent="0.25">
      <c r="A142">
        <v>339</v>
      </c>
      <c r="B142" t="s">
        <v>132</v>
      </c>
      <c r="C142" t="s">
        <v>190</v>
      </c>
      <c r="D142" t="s">
        <v>166</v>
      </c>
      <c r="E142" t="s">
        <v>9</v>
      </c>
      <c r="F142" s="20">
        <v>45259</v>
      </c>
    </row>
    <row r="143" spans="1:6" x14ac:dyDescent="0.25">
      <c r="A143">
        <v>339</v>
      </c>
      <c r="B143" t="s">
        <v>132</v>
      </c>
      <c r="C143" t="s">
        <v>190</v>
      </c>
      <c r="D143" t="s">
        <v>166</v>
      </c>
      <c r="E143" t="s">
        <v>10</v>
      </c>
      <c r="F143" s="20">
        <v>45271</v>
      </c>
    </row>
    <row r="144" spans="1:6" x14ac:dyDescent="0.25">
      <c r="A144">
        <v>339</v>
      </c>
      <c r="B144" t="s">
        <v>132</v>
      </c>
      <c r="C144" t="s">
        <v>190</v>
      </c>
      <c r="D144" t="s">
        <v>166</v>
      </c>
      <c r="E144" t="s">
        <v>195</v>
      </c>
      <c r="F144" s="20">
        <v>45278</v>
      </c>
    </row>
    <row r="145" spans="1:6" x14ac:dyDescent="0.25">
      <c r="A145">
        <v>339</v>
      </c>
      <c r="B145" t="s">
        <v>132</v>
      </c>
      <c r="C145" t="s">
        <v>190</v>
      </c>
      <c r="D145" t="s">
        <v>166</v>
      </c>
      <c r="E145" t="s">
        <v>11</v>
      </c>
      <c r="F145" s="20">
        <v>45289</v>
      </c>
    </row>
    <row r="146" spans="1:6" x14ac:dyDescent="0.25">
      <c r="A146">
        <v>339</v>
      </c>
      <c r="B146" t="s">
        <v>132</v>
      </c>
      <c r="C146" t="s">
        <v>190</v>
      </c>
      <c r="D146" t="s">
        <v>166</v>
      </c>
      <c r="E146" t="s">
        <v>12</v>
      </c>
      <c r="F146" s="20">
        <v>45309</v>
      </c>
    </row>
    <row r="147" spans="1:6" x14ac:dyDescent="0.25">
      <c r="A147">
        <v>355</v>
      </c>
      <c r="B147" t="s">
        <v>134</v>
      </c>
      <c r="C147" t="s">
        <v>113</v>
      </c>
      <c r="D147" t="s">
        <v>77</v>
      </c>
      <c r="E147" t="s">
        <v>9</v>
      </c>
      <c r="F147" s="20">
        <v>45232</v>
      </c>
    </row>
    <row r="148" spans="1:6" x14ac:dyDescent="0.25">
      <c r="A148">
        <v>355</v>
      </c>
      <c r="B148" t="s">
        <v>134</v>
      </c>
      <c r="C148" t="s">
        <v>113</v>
      </c>
      <c r="D148" t="s">
        <v>77</v>
      </c>
      <c r="E148" t="s">
        <v>10</v>
      </c>
      <c r="F148" s="20">
        <v>45239</v>
      </c>
    </row>
    <row r="149" spans="1:6" x14ac:dyDescent="0.25">
      <c r="A149">
        <v>355</v>
      </c>
      <c r="B149" t="s">
        <v>134</v>
      </c>
      <c r="C149" t="s">
        <v>113</v>
      </c>
      <c r="D149" t="s">
        <v>77</v>
      </c>
      <c r="E149" t="s">
        <v>195</v>
      </c>
      <c r="F149" s="20">
        <v>45240</v>
      </c>
    </row>
    <row r="150" spans="1:6" x14ac:dyDescent="0.25">
      <c r="A150">
        <v>355</v>
      </c>
      <c r="B150" t="s">
        <v>134</v>
      </c>
      <c r="C150" t="s">
        <v>113</v>
      </c>
      <c r="D150" t="s">
        <v>77</v>
      </c>
      <c r="E150" t="s">
        <v>11</v>
      </c>
      <c r="F150" s="20">
        <v>45272</v>
      </c>
    </row>
    <row r="151" spans="1:6" x14ac:dyDescent="0.25">
      <c r="A151">
        <v>355</v>
      </c>
      <c r="B151" t="s">
        <v>134</v>
      </c>
      <c r="C151" t="s">
        <v>113</v>
      </c>
      <c r="D151" t="s">
        <v>77</v>
      </c>
      <c r="E151" t="s">
        <v>12</v>
      </c>
      <c r="F151" s="20">
        <v>45275</v>
      </c>
    </row>
    <row r="152" spans="1:6" x14ac:dyDescent="0.25">
      <c r="A152">
        <v>453</v>
      </c>
      <c r="B152" t="s">
        <v>123</v>
      </c>
      <c r="C152" t="s">
        <v>116</v>
      </c>
      <c r="D152" t="s">
        <v>34</v>
      </c>
      <c r="E152" t="s">
        <v>9</v>
      </c>
      <c r="F152" s="20">
        <v>45246</v>
      </c>
    </row>
    <row r="153" spans="1:6" x14ac:dyDescent="0.25">
      <c r="A153">
        <v>453</v>
      </c>
      <c r="B153" t="s">
        <v>123</v>
      </c>
      <c r="C153" t="s">
        <v>116</v>
      </c>
      <c r="D153" t="s">
        <v>34</v>
      </c>
      <c r="E153" t="s">
        <v>10</v>
      </c>
      <c r="F153" s="20">
        <v>45254</v>
      </c>
    </row>
    <row r="154" spans="1:6" x14ac:dyDescent="0.25">
      <c r="A154">
        <v>453</v>
      </c>
      <c r="B154" t="s">
        <v>123</v>
      </c>
      <c r="C154" t="s">
        <v>116</v>
      </c>
      <c r="D154" t="s">
        <v>34</v>
      </c>
      <c r="E154" t="s">
        <v>195</v>
      </c>
      <c r="F154" s="20">
        <v>45260</v>
      </c>
    </row>
    <row r="155" spans="1:6" x14ac:dyDescent="0.25">
      <c r="A155">
        <v>453</v>
      </c>
      <c r="B155" t="s">
        <v>123</v>
      </c>
      <c r="C155" t="s">
        <v>116</v>
      </c>
      <c r="D155" t="s">
        <v>34</v>
      </c>
      <c r="E155" t="s">
        <v>11</v>
      </c>
      <c r="F155" s="20">
        <v>45274</v>
      </c>
    </row>
    <row r="156" spans="1:6" x14ac:dyDescent="0.25">
      <c r="A156">
        <v>453</v>
      </c>
      <c r="B156" t="s">
        <v>123</v>
      </c>
      <c r="C156" t="s">
        <v>116</v>
      </c>
      <c r="D156" t="s">
        <v>34</v>
      </c>
      <c r="E156" t="s">
        <v>12</v>
      </c>
      <c r="F156" s="20">
        <v>45280</v>
      </c>
    </row>
    <row r="157" spans="1:6" x14ac:dyDescent="0.25">
      <c r="A157">
        <v>148</v>
      </c>
      <c r="B157" t="s">
        <v>129</v>
      </c>
      <c r="C157" t="s">
        <v>114</v>
      </c>
      <c r="D157" t="s">
        <v>165</v>
      </c>
      <c r="E157" t="s">
        <v>9</v>
      </c>
      <c r="F157" s="20">
        <v>45251</v>
      </c>
    </row>
    <row r="158" spans="1:6" x14ac:dyDescent="0.25">
      <c r="A158">
        <v>148</v>
      </c>
      <c r="B158" t="s">
        <v>129</v>
      </c>
      <c r="C158" t="s">
        <v>114</v>
      </c>
      <c r="D158" t="s">
        <v>165</v>
      </c>
      <c r="E158" t="s">
        <v>10</v>
      </c>
      <c r="F158" s="20">
        <v>45251</v>
      </c>
    </row>
    <row r="159" spans="1:6" x14ac:dyDescent="0.25">
      <c r="A159">
        <v>148</v>
      </c>
      <c r="B159" t="s">
        <v>129</v>
      </c>
      <c r="C159" t="s">
        <v>114</v>
      </c>
      <c r="D159" t="s">
        <v>165</v>
      </c>
      <c r="E159" t="s">
        <v>195</v>
      </c>
      <c r="F159" s="20">
        <v>45260</v>
      </c>
    </row>
    <row r="160" spans="1:6" x14ac:dyDescent="0.25">
      <c r="A160">
        <v>148</v>
      </c>
      <c r="B160" t="s">
        <v>129</v>
      </c>
      <c r="C160" t="s">
        <v>114</v>
      </c>
      <c r="D160" t="s">
        <v>165</v>
      </c>
      <c r="E160" t="s">
        <v>11</v>
      </c>
      <c r="F160" s="20">
        <v>45270</v>
      </c>
    </row>
    <row r="161" spans="1:6" x14ac:dyDescent="0.25">
      <c r="A161">
        <v>148</v>
      </c>
      <c r="B161" t="s">
        <v>129</v>
      </c>
      <c r="C161" t="s">
        <v>114</v>
      </c>
      <c r="D161" t="s">
        <v>165</v>
      </c>
      <c r="E161" t="s">
        <v>12</v>
      </c>
      <c r="F161" s="20">
        <v>45275</v>
      </c>
    </row>
    <row r="162" spans="1:6" x14ac:dyDescent="0.25">
      <c r="A162">
        <v>827</v>
      </c>
      <c r="B162" t="s">
        <v>181</v>
      </c>
      <c r="C162" t="s">
        <v>182</v>
      </c>
      <c r="D162" t="s">
        <v>34</v>
      </c>
      <c r="E162" t="s">
        <v>9</v>
      </c>
      <c r="F162" s="20">
        <v>45246</v>
      </c>
    </row>
    <row r="163" spans="1:6" x14ac:dyDescent="0.25">
      <c r="A163">
        <v>827</v>
      </c>
      <c r="B163" t="s">
        <v>181</v>
      </c>
      <c r="C163" t="s">
        <v>182</v>
      </c>
      <c r="D163" t="s">
        <v>34</v>
      </c>
      <c r="E163" t="s">
        <v>10</v>
      </c>
      <c r="F163" s="20">
        <v>45256</v>
      </c>
    </row>
    <row r="164" spans="1:6" x14ac:dyDescent="0.25">
      <c r="A164">
        <v>827</v>
      </c>
      <c r="B164" t="s">
        <v>181</v>
      </c>
      <c r="C164" t="s">
        <v>182</v>
      </c>
      <c r="D164" t="s">
        <v>34</v>
      </c>
      <c r="E164" t="s">
        <v>195</v>
      </c>
      <c r="F164" s="20">
        <v>45275</v>
      </c>
    </row>
    <row r="165" spans="1:6" x14ac:dyDescent="0.25">
      <c r="A165">
        <v>827</v>
      </c>
      <c r="B165" t="s">
        <v>181</v>
      </c>
      <c r="C165" t="s">
        <v>182</v>
      </c>
      <c r="D165" t="s">
        <v>34</v>
      </c>
      <c r="E165" t="s">
        <v>11</v>
      </c>
      <c r="F165" s="20">
        <v>45282</v>
      </c>
    </row>
    <row r="166" spans="1:6" x14ac:dyDescent="0.25">
      <c r="A166">
        <v>827</v>
      </c>
      <c r="B166" t="s">
        <v>181</v>
      </c>
      <c r="C166" t="s">
        <v>182</v>
      </c>
      <c r="D166" t="s">
        <v>34</v>
      </c>
      <c r="E166" t="s">
        <v>12</v>
      </c>
      <c r="F166" s="20">
        <v>45351</v>
      </c>
    </row>
    <row r="167" spans="1:6" x14ac:dyDescent="0.25">
      <c r="A167">
        <v>340</v>
      </c>
      <c r="B167" t="s">
        <v>133</v>
      </c>
      <c r="C167" t="s">
        <v>115</v>
      </c>
      <c r="D167" t="s">
        <v>166</v>
      </c>
      <c r="E167" t="s">
        <v>9</v>
      </c>
      <c r="F167" s="20">
        <v>45265</v>
      </c>
    </row>
    <row r="168" spans="1:6" x14ac:dyDescent="0.25">
      <c r="A168">
        <v>340</v>
      </c>
      <c r="B168" t="s">
        <v>133</v>
      </c>
      <c r="C168" t="s">
        <v>115</v>
      </c>
      <c r="D168" t="s">
        <v>166</v>
      </c>
      <c r="E168" t="s">
        <v>10</v>
      </c>
      <c r="F168" s="20">
        <v>45272</v>
      </c>
    </row>
    <row r="169" spans="1:6" x14ac:dyDescent="0.25">
      <c r="A169">
        <v>340</v>
      </c>
      <c r="B169" t="s">
        <v>133</v>
      </c>
      <c r="C169" t="s">
        <v>115</v>
      </c>
      <c r="D169" t="s">
        <v>166</v>
      </c>
      <c r="E169" t="s">
        <v>195</v>
      </c>
      <c r="F169" t="s">
        <v>184</v>
      </c>
    </row>
    <row r="170" spans="1:6" x14ac:dyDescent="0.25">
      <c r="A170">
        <v>340</v>
      </c>
      <c r="B170" t="s">
        <v>133</v>
      </c>
      <c r="C170" t="s">
        <v>115</v>
      </c>
      <c r="D170" t="s">
        <v>166</v>
      </c>
      <c r="E170" t="s">
        <v>11</v>
      </c>
      <c r="F170" s="20">
        <v>45275</v>
      </c>
    </row>
    <row r="171" spans="1:6" x14ac:dyDescent="0.25">
      <c r="A171">
        <v>340</v>
      </c>
      <c r="B171" t="s">
        <v>133</v>
      </c>
      <c r="C171" t="s">
        <v>115</v>
      </c>
      <c r="D171" t="s">
        <v>166</v>
      </c>
      <c r="E171" t="s">
        <v>12</v>
      </c>
      <c r="F171" s="20">
        <v>45322</v>
      </c>
    </row>
    <row r="172" spans="1:6" x14ac:dyDescent="0.25">
      <c r="A172">
        <v>245</v>
      </c>
      <c r="B172" t="s">
        <v>121</v>
      </c>
      <c r="C172" t="s">
        <v>114</v>
      </c>
      <c r="D172" t="s">
        <v>18</v>
      </c>
      <c r="E172" t="s">
        <v>9</v>
      </c>
      <c r="F172" s="20">
        <v>45216</v>
      </c>
    </row>
    <row r="173" spans="1:6" x14ac:dyDescent="0.25">
      <c r="A173">
        <v>245</v>
      </c>
      <c r="B173" t="s">
        <v>121</v>
      </c>
      <c r="C173" t="s">
        <v>114</v>
      </c>
      <c r="D173" t="s">
        <v>18</v>
      </c>
      <c r="E173" t="s">
        <v>10</v>
      </c>
      <c r="F173" s="20">
        <v>45216</v>
      </c>
    </row>
    <row r="174" spans="1:6" x14ac:dyDescent="0.25">
      <c r="A174">
        <v>245</v>
      </c>
      <c r="B174" t="s">
        <v>121</v>
      </c>
      <c r="C174" t="s">
        <v>114</v>
      </c>
      <c r="D174" t="s">
        <v>18</v>
      </c>
      <c r="E174" t="s">
        <v>195</v>
      </c>
      <c r="F174" s="20">
        <v>45224</v>
      </c>
    </row>
    <row r="175" spans="1:6" x14ac:dyDescent="0.25">
      <c r="A175">
        <v>245</v>
      </c>
      <c r="B175" t="s">
        <v>121</v>
      </c>
      <c r="C175" t="s">
        <v>114</v>
      </c>
      <c r="D175" t="s">
        <v>18</v>
      </c>
      <c r="E175" t="s">
        <v>11</v>
      </c>
      <c r="F175" s="20">
        <v>45230</v>
      </c>
    </row>
    <row r="176" spans="1:6" x14ac:dyDescent="0.25">
      <c r="A176">
        <v>245</v>
      </c>
      <c r="B176" t="s">
        <v>121</v>
      </c>
      <c r="C176" t="s">
        <v>114</v>
      </c>
      <c r="D176" t="s">
        <v>18</v>
      </c>
      <c r="E176" t="s">
        <v>12</v>
      </c>
      <c r="F176" s="20">
        <v>45265</v>
      </c>
    </row>
    <row r="177" spans="1:6" x14ac:dyDescent="0.25">
      <c r="A177">
        <v>557</v>
      </c>
      <c r="B177" t="s">
        <v>137</v>
      </c>
      <c r="C177" t="s">
        <v>109</v>
      </c>
      <c r="D177" t="s">
        <v>67</v>
      </c>
      <c r="E177" t="s">
        <v>9</v>
      </c>
      <c r="F177" s="20">
        <v>45252</v>
      </c>
    </row>
    <row r="178" spans="1:6" x14ac:dyDescent="0.25">
      <c r="A178">
        <v>557</v>
      </c>
      <c r="B178" t="s">
        <v>137</v>
      </c>
      <c r="C178" t="s">
        <v>109</v>
      </c>
      <c r="D178" t="s">
        <v>67</v>
      </c>
      <c r="E178" t="s">
        <v>10</v>
      </c>
      <c r="F178" s="20">
        <v>45246</v>
      </c>
    </row>
    <row r="179" spans="1:6" x14ac:dyDescent="0.25">
      <c r="A179">
        <v>557</v>
      </c>
      <c r="B179" t="s">
        <v>137</v>
      </c>
      <c r="C179" t="s">
        <v>109</v>
      </c>
      <c r="D179" t="s">
        <v>67</v>
      </c>
      <c r="E179" t="s">
        <v>195</v>
      </c>
      <c r="F179" s="20">
        <v>45259</v>
      </c>
    </row>
    <row r="180" spans="1:6" x14ac:dyDescent="0.25">
      <c r="A180">
        <v>557</v>
      </c>
      <c r="B180" t="s">
        <v>137</v>
      </c>
      <c r="C180" t="s">
        <v>109</v>
      </c>
      <c r="D180" t="s">
        <v>67</v>
      </c>
      <c r="E180" t="s">
        <v>11</v>
      </c>
      <c r="F180" s="20">
        <v>45268</v>
      </c>
    </row>
    <row r="181" spans="1:6" x14ac:dyDescent="0.25">
      <c r="A181">
        <v>557</v>
      </c>
      <c r="B181" t="s">
        <v>137</v>
      </c>
      <c r="C181" t="s">
        <v>109</v>
      </c>
      <c r="D181" t="s">
        <v>67</v>
      </c>
      <c r="E181" t="s">
        <v>12</v>
      </c>
      <c r="F181" s="20">
        <v>45322</v>
      </c>
    </row>
    <row r="182" spans="1:6" x14ac:dyDescent="0.25">
      <c r="A182">
        <v>558</v>
      </c>
      <c r="B182" t="s">
        <v>138</v>
      </c>
      <c r="C182" t="s">
        <v>109</v>
      </c>
      <c r="D182" t="s">
        <v>67</v>
      </c>
      <c r="E182" t="s">
        <v>9</v>
      </c>
      <c r="F182" s="20">
        <v>45252</v>
      </c>
    </row>
    <row r="183" spans="1:6" x14ac:dyDescent="0.25">
      <c r="A183">
        <v>558</v>
      </c>
      <c r="B183" t="s">
        <v>138</v>
      </c>
      <c r="C183" t="s">
        <v>109</v>
      </c>
      <c r="D183" t="s">
        <v>67</v>
      </c>
      <c r="E183" t="s">
        <v>10</v>
      </c>
      <c r="F183" s="20">
        <v>45247</v>
      </c>
    </row>
    <row r="184" spans="1:6" x14ac:dyDescent="0.25">
      <c r="A184">
        <v>558</v>
      </c>
      <c r="B184" t="s">
        <v>138</v>
      </c>
      <c r="C184" t="s">
        <v>109</v>
      </c>
      <c r="D184" t="s">
        <v>67</v>
      </c>
      <c r="E184" t="s">
        <v>195</v>
      </c>
      <c r="F184" s="20">
        <v>45260</v>
      </c>
    </row>
    <row r="185" spans="1:6" x14ac:dyDescent="0.25">
      <c r="A185">
        <v>558</v>
      </c>
      <c r="B185" t="s">
        <v>138</v>
      </c>
      <c r="C185" t="s">
        <v>109</v>
      </c>
      <c r="D185" t="s">
        <v>67</v>
      </c>
      <c r="E185" t="s">
        <v>11</v>
      </c>
      <c r="F185" s="20">
        <v>45268</v>
      </c>
    </row>
    <row r="186" spans="1:6" x14ac:dyDescent="0.25">
      <c r="A186">
        <v>558</v>
      </c>
      <c r="B186" t="s">
        <v>138</v>
      </c>
      <c r="C186" t="s">
        <v>109</v>
      </c>
      <c r="D186" t="s">
        <v>67</v>
      </c>
      <c r="E186" t="s">
        <v>12</v>
      </c>
      <c r="F186" s="20">
        <v>45322</v>
      </c>
    </row>
    <row r="187" spans="1:6" x14ac:dyDescent="0.25">
      <c r="A187">
        <v>600</v>
      </c>
      <c r="B187" t="s">
        <v>29</v>
      </c>
      <c r="C187" t="s">
        <v>115</v>
      </c>
      <c r="D187" t="s">
        <v>28</v>
      </c>
      <c r="E187" t="s">
        <v>9</v>
      </c>
      <c r="F187" s="20">
        <v>45191</v>
      </c>
    </row>
    <row r="188" spans="1:6" x14ac:dyDescent="0.25">
      <c r="A188">
        <v>600</v>
      </c>
      <c r="B188" t="s">
        <v>29</v>
      </c>
      <c r="C188" t="s">
        <v>115</v>
      </c>
      <c r="D188" t="s">
        <v>28</v>
      </c>
      <c r="E188" t="s">
        <v>10</v>
      </c>
      <c r="F188" s="20">
        <v>45191</v>
      </c>
    </row>
    <row r="189" spans="1:6" x14ac:dyDescent="0.25">
      <c r="A189">
        <v>600</v>
      </c>
      <c r="B189" t="s">
        <v>29</v>
      </c>
      <c r="C189" t="s">
        <v>115</v>
      </c>
      <c r="D189" t="s">
        <v>28</v>
      </c>
      <c r="E189" t="s">
        <v>195</v>
      </c>
      <c r="F189" s="20">
        <v>45195</v>
      </c>
    </row>
    <row r="190" spans="1:6" x14ac:dyDescent="0.25">
      <c r="A190">
        <v>600</v>
      </c>
      <c r="B190" t="s">
        <v>29</v>
      </c>
      <c r="C190" t="s">
        <v>115</v>
      </c>
      <c r="D190" t="s">
        <v>28</v>
      </c>
      <c r="E190" t="s">
        <v>11</v>
      </c>
      <c r="F190" s="20">
        <v>45199</v>
      </c>
    </row>
    <row r="191" spans="1:6" x14ac:dyDescent="0.25">
      <c r="A191">
        <v>600</v>
      </c>
      <c r="B191" t="s">
        <v>29</v>
      </c>
      <c r="C191" t="s">
        <v>115</v>
      </c>
      <c r="D191" t="s">
        <v>28</v>
      </c>
      <c r="E191" t="s">
        <v>12</v>
      </c>
      <c r="F191" s="36">
        <v>0</v>
      </c>
    </row>
    <row r="192" spans="1:6" x14ac:dyDescent="0.25">
      <c r="A192">
        <v>105</v>
      </c>
      <c r="B192" t="s">
        <v>43</v>
      </c>
      <c r="C192" t="s">
        <v>185</v>
      </c>
      <c r="D192" t="s">
        <v>44</v>
      </c>
      <c r="E192" t="s">
        <v>9</v>
      </c>
      <c r="F192" s="36">
        <v>0</v>
      </c>
    </row>
    <row r="193" spans="1:6" x14ac:dyDescent="0.25">
      <c r="A193">
        <v>105</v>
      </c>
      <c r="B193" t="s">
        <v>43</v>
      </c>
      <c r="C193" t="s">
        <v>185</v>
      </c>
      <c r="D193" t="s">
        <v>44</v>
      </c>
      <c r="E193" t="s">
        <v>10</v>
      </c>
      <c r="F193" s="36">
        <v>0</v>
      </c>
    </row>
    <row r="194" spans="1:6" x14ac:dyDescent="0.25">
      <c r="A194">
        <v>105</v>
      </c>
      <c r="B194" t="s">
        <v>43</v>
      </c>
      <c r="C194" t="s">
        <v>185</v>
      </c>
      <c r="D194" t="s">
        <v>44</v>
      </c>
      <c r="E194" t="s">
        <v>195</v>
      </c>
      <c r="F194" s="36">
        <v>0</v>
      </c>
    </row>
    <row r="195" spans="1:6" x14ac:dyDescent="0.25">
      <c r="A195">
        <v>105</v>
      </c>
      <c r="B195" t="s">
        <v>43</v>
      </c>
      <c r="C195" t="s">
        <v>185</v>
      </c>
      <c r="D195" t="s">
        <v>44</v>
      </c>
      <c r="E195" t="s">
        <v>11</v>
      </c>
      <c r="F195" s="36">
        <v>0</v>
      </c>
    </row>
    <row r="196" spans="1:6" x14ac:dyDescent="0.25">
      <c r="A196">
        <v>105</v>
      </c>
      <c r="B196" t="s">
        <v>43</v>
      </c>
      <c r="C196" t="s">
        <v>185</v>
      </c>
      <c r="D196" t="s">
        <v>44</v>
      </c>
      <c r="E196" t="s">
        <v>12</v>
      </c>
      <c r="F196" s="36">
        <v>0</v>
      </c>
    </row>
    <row r="197" spans="1:6" x14ac:dyDescent="0.25">
      <c r="A197">
        <v>258</v>
      </c>
      <c r="B197" t="s">
        <v>50</v>
      </c>
      <c r="C197" t="s">
        <v>189</v>
      </c>
      <c r="D197" t="s">
        <v>52</v>
      </c>
      <c r="E197" t="s">
        <v>9</v>
      </c>
      <c r="F197" s="20">
        <v>45232</v>
      </c>
    </row>
    <row r="198" spans="1:6" x14ac:dyDescent="0.25">
      <c r="A198">
        <v>258</v>
      </c>
      <c r="B198" t="s">
        <v>50</v>
      </c>
      <c r="C198" t="s">
        <v>189</v>
      </c>
      <c r="D198" t="s">
        <v>52</v>
      </c>
      <c r="E198" t="s">
        <v>10</v>
      </c>
      <c r="F198" s="20">
        <v>45237</v>
      </c>
    </row>
    <row r="199" spans="1:6" x14ac:dyDescent="0.25">
      <c r="A199">
        <v>258</v>
      </c>
      <c r="B199" t="s">
        <v>50</v>
      </c>
      <c r="C199" t="s">
        <v>189</v>
      </c>
      <c r="D199" t="s">
        <v>52</v>
      </c>
      <c r="E199" t="s">
        <v>195</v>
      </c>
      <c r="F199" s="20">
        <v>45240</v>
      </c>
    </row>
    <row r="200" spans="1:6" x14ac:dyDescent="0.25">
      <c r="A200">
        <v>258</v>
      </c>
      <c r="B200" t="s">
        <v>50</v>
      </c>
      <c r="C200" t="s">
        <v>189</v>
      </c>
      <c r="D200" t="s">
        <v>52</v>
      </c>
      <c r="E200" t="s">
        <v>11</v>
      </c>
      <c r="F200" s="20">
        <v>45240</v>
      </c>
    </row>
    <row r="201" spans="1:6" x14ac:dyDescent="0.25">
      <c r="A201">
        <v>258</v>
      </c>
      <c r="B201" t="s">
        <v>50</v>
      </c>
      <c r="C201" t="s">
        <v>189</v>
      </c>
      <c r="D201" t="s">
        <v>52</v>
      </c>
      <c r="E201" t="s">
        <v>12</v>
      </c>
      <c r="F201" s="36">
        <v>0</v>
      </c>
    </row>
    <row r="202" spans="1:6" x14ac:dyDescent="0.25">
      <c r="A202">
        <v>858</v>
      </c>
      <c r="B202" t="s">
        <v>79</v>
      </c>
      <c r="C202" t="s">
        <v>192</v>
      </c>
      <c r="D202" t="s">
        <v>77</v>
      </c>
      <c r="E202" t="s">
        <v>9</v>
      </c>
      <c r="F202" s="20">
        <v>45274</v>
      </c>
    </row>
    <row r="203" spans="1:6" x14ac:dyDescent="0.25">
      <c r="A203">
        <v>858</v>
      </c>
      <c r="B203" t="s">
        <v>79</v>
      </c>
      <c r="C203" t="s">
        <v>192</v>
      </c>
      <c r="D203" t="s">
        <v>77</v>
      </c>
      <c r="E203" t="s">
        <v>10</v>
      </c>
      <c r="F203" s="20">
        <v>45275</v>
      </c>
    </row>
    <row r="204" spans="1:6" x14ac:dyDescent="0.25">
      <c r="A204">
        <v>858</v>
      </c>
      <c r="B204" t="s">
        <v>79</v>
      </c>
      <c r="C204" t="s">
        <v>192</v>
      </c>
      <c r="D204" t="s">
        <v>77</v>
      </c>
      <c r="E204" t="s">
        <v>195</v>
      </c>
      <c r="F204" s="20">
        <v>45278</v>
      </c>
    </row>
    <row r="205" spans="1:6" x14ac:dyDescent="0.25">
      <c r="A205">
        <v>858</v>
      </c>
      <c r="B205" t="s">
        <v>79</v>
      </c>
      <c r="C205" t="s">
        <v>192</v>
      </c>
      <c r="D205" t="s">
        <v>77</v>
      </c>
      <c r="E205" t="s">
        <v>11</v>
      </c>
      <c r="F205" s="20">
        <v>45288</v>
      </c>
    </row>
    <row r="206" spans="1:6" x14ac:dyDescent="0.25">
      <c r="A206">
        <v>858</v>
      </c>
      <c r="B206" t="s">
        <v>79</v>
      </c>
      <c r="C206" t="s">
        <v>192</v>
      </c>
      <c r="D206" t="s">
        <v>77</v>
      </c>
      <c r="E206" t="s">
        <v>12</v>
      </c>
      <c r="F206" s="36">
        <v>0</v>
      </c>
    </row>
    <row r="207" spans="1:6" x14ac:dyDescent="0.25">
      <c r="A207">
        <v>318</v>
      </c>
      <c r="B207" t="s">
        <v>87</v>
      </c>
      <c r="C207" t="s">
        <v>111</v>
      </c>
      <c r="D207" t="s">
        <v>84</v>
      </c>
      <c r="E207" t="s">
        <v>9</v>
      </c>
      <c r="F207" s="20">
        <v>45257</v>
      </c>
    </row>
    <row r="208" spans="1:6" x14ac:dyDescent="0.25">
      <c r="A208">
        <v>318</v>
      </c>
      <c r="B208" t="s">
        <v>87</v>
      </c>
      <c r="C208" t="s">
        <v>111</v>
      </c>
      <c r="D208" t="s">
        <v>84</v>
      </c>
      <c r="E208" t="s">
        <v>10</v>
      </c>
      <c r="F208" s="20">
        <v>45270</v>
      </c>
    </row>
    <row r="209" spans="1:6" x14ac:dyDescent="0.25">
      <c r="A209">
        <v>318</v>
      </c>
      <c r="B209" t="s">
        <v>87</v>
      </c>
      <c r="C209" t="s">
        <v>111</v>
      </c>
      <c r="D209" t="s">
        <v>84</v>
      </c>
      <c r="E209" t="s">
        <v>195</v>
      </c>
      <c r="F209" s="20">
        <v>45274</v>
      </c>
    </row>
    <row r="210" spans="1:6" x14ac:dyDescent="0.25">
      <c r="A210">
        <v>318</v>
      </c>
      <c r="B210" t="s">
        <v>87</v>
      </c>
      <c r="C210" t="s">
        <v>111</v>
      </c>
      <c r="D210" t="s">
        <v>84</v>
      </c>
      <c r="E210" t="s">
        <v>11</v>
      </c>
      <c r="F210" s="20">
        <v>45280</v>
      </c>
    </row>
    <row r="211" spans="1:6" x14ac:dyDescent="0.25">
      <c r="A211">
        <v>318</v>
      </c>
      <c r="B211" t="s">
        <v>87</v>
      </c>
      <c r="C211" t="s">
        <v>111</v>
      </c>
      <c r="D211" t="s">
        <v>84</v>
      </c>
      <c r="E211" t="s">
        <v>12</v>
      </c>
      <c r="F211" s="36">
        <v>0</v>
      </c>
    </row>
    <row r="212" spans="1:6" x14ac:dyDescent="0.25">
      <c r="A212">
        <v>752</v>
      </c>
      <c r="B212" t="s">
        <v>46</v>
      </c>
      <c r="C212" t="s">
        <v>110</v>
      </c>
      <c r="D212" t="s">
        <v>44</v>
      </c>
      <c r="E212" t="s">
        <v>9</v>
      </c>
      <c r="F212" s="20">
        <v>45267</v>
      </c>
    </row>
    <row r="213" spans="1:6" x14ac:dyDescent="0.25">
      <c r="A213">
        <v>752</v>
      </c>
      <c r="B213" t="s">
        <v>46</v>
      </c>
      <c r="C213" t="s">
        <v>110</v>
      </c>
      <c r="D213" t="s">
        <v>44</v>
      </c>
      <c r="E213" t="s">
        <v>10</v>
      </c>
      <c r="F213" s="20">
        <v>45273</v>
      </c>
    </row>
    <row r="214" spans="1:6" x14ac:dyDescent="0.25">
      <c r="A214">
        <v>752</v>
      </c>
      <c r="B214" t="s">
        <v>46</v>
      </c>
      <c r="C214" t="s">
        <v>110</v>
      </c>
      <c r="D214" t="s">
        <v>44</v>
      </c>
      <c r="E214" t="s">
        <v>195</v>
      </c>
      <c r="F214" s="20">
        <v>45275</v>
      </c>
    </row>
    <row r="215" spans="1:6" x14ac:dyDescent="0.25">
      <c r="A215">
        <v>752</v>
      </c>
      <c r="B215" t="s">
        <v>46</v>
      </c>
      <c r="C215" t="s">
        <v>110</v>
      </c>
      <c r="D215" t="s">
        <v>44</v>
      </c>
      <c r="E215" t="s">
        <v>11</v>
      </c>
      <c r="F215" s="20">
        <v>45280</v>
      </c>
    </row>
    <row r="216" spans="1:6" x14ac:dyDescent="0.25">
      <c r="A216">
        <v>752</v>
      </c>
      <c r="B216" t="s">
        <v>46</v>
      </c>
      <c r="C216" t="s">
        <v>110</v>
      </c>
      <c r="D216" t="s">
        <v>44</v>
      </c>
      <c r="E216" t="s">
        <v>12</v>
      </c>
      <c r="F216" s="36">
        <v>0</v>
      </c>
    </row>
    <row r="217" spans="1:6" x14ac:dyDescent="0.25">
      <c r="A217">
        <v>265</v>
      </c>
      <c r="B217" t="s">
        <v>91</v>
      </c>
      <c r="C217" t="s">
        <v>112</v>
      </c>
      <c r="D217" t="s">
        <v>93</v>
      </c>
      <c r="E217" t="s">
        <v>9</v>
      </c>
      <c r="F217" s="20">
        <v>45264</v>
      </c>
    </row>
    <row r="218" spans="1:6" x14ac:dyDescent="0.25">
      <c r="A218">
        <v>265</v>
      </c>
      <c r="B218" t="s">
        <v>91</v>
      </c>
      <c r="C218" t="s">
        <v>112</v>
      </c>
      <c r="D218" t="s">
        <v>93</v>
      </c>
      <c r="E218" t="s">
        <v>10</v>
      </c>
      <c r="F218" s="20">
        <v>45265</v>
      </c>
    </row>
    <row r="219" spans="1:6" x14ac:dyDescent="0.25">
      <c r="A219">
        <v>265</v>
      </c>
      <c r="B219" t="s">
        <v>91</v>
      </c>
      <c r="C219" t="s">
        <v>112</v>
      </c>
      <c r="D219" t="s">
        <v>93</v>
      </c>
      <c r="E219" t="s">
        <v>195</v>
      </c>
      <c r="F219" s="20">
        <v>45271</v>
      </c>
    </row>
    <row r="220" spans="1:6" x14ac:dyDescent="0.25">
      <c r="A220">
        <v>265</v>
      </c>
      <c r="B220" t="s">
        <v>91</v>
      </c>
      <c r="C220" t="s">
        <v>112</v>
      </c>
      <c r="D220" t="s">
        <v>93</v>
      </c>
      <c r="E220" t="s">
        <v>11</v>
      </c>
      <c r="F220" s="20">
        <v>45282</v>
      </c>
    </row>
    <row r="221" spans="1:6" x14ac:dyDescent="0.25">
      <c r="A221">
        <v>265</v>
      </c>
      <c r="B221" t="s">
        <v>91</v>
      </c>
      <c r="C221" t="s">
        <v>112</v>
      </c>
      <c r="D221" t="s">
        <v>93</v>
      </c>
      <c r="E221" t="s">
        <v>12</v>
      </c>
      <c r="F221" s="36">
        <v>0</v>
      </c>
    </row>
    <row r="222" spans="1:6" x14ac:dyDescent="0.25">
      <c r="A222">
        <v>243</v>
      </c>
      <c r="B222" t="s">
        <v>130</v>
      </c>
      <c r="C222" t="s">
        <v>188</v>
      </c>
      <c r="D222" t="s">
        <v>18</v>
      </c>
      <c r="E222" t="s">
        <v>9</v>
      </c>
      <c r="F222" s="20">
        <v>45257</v>
      </c>
    </row>
    <row r="223" spans="1:6" x14ac:dyDescent="0.25">
      <c r="A223">
        <v>243</v>
      </c>
      <c r="B223" t="s">
        <v>130</v>
      </c>
      <c r="C223" t="s">
        <v>188</v>
      </c>
      <c r="D223" t="s">
        <v>18</v>
      </c>
      <c r="E223" t="s">
        <v>10</v>
      </c>
      <c r="F223" s="20">
        <v>45264</v>
      </c>
    </row>
    <row r="224" spans="1:6" x14ac:dyDescent="0.25">
      <c r="A224">
        <v>243</v>
      </c>
      <c r="B224" t="s">
        <v>130</v>
      </c>
      <c r="C224" t="s">
        <v>188</v>
      </c>
      <c r="D224" t="s">
        <v>18</v>
      </c>
      <c r="E224" t="s">
        <v>195</v>
      </c>
      <c r="F224" s="20">
        <v>45265</v>
      </c>
    </row>
    <row r="225" spans="1:6" x14ac:dyDescent="0.25">
      <c r="A225">
        <v>243</v>
      </c>
      <c r="B225" t="s">
        <v>130</v>
      </c>
      <c r="C225" t="s">
        <v>188</v>
      </c>
      <c r="D225" t="s">
        <v>18</v>
      </c>
      <c r="E225" t="s">
        <v>11</v>
      </c>
      <c r="F225" s="20">
        <v>45278</v>
      </c>
    </row>
    <row r="226" spans="1:6" x14ac:dyDescent="0.25">
      <c r="A226">
        <v>243</v>
      </c>
      <c r="B226" t="s">
        <v>130</v>
      </c>
      <c r="C226" t="s">
        <v>188</v>
      </c>
      <c r="D226" t="s">
        <v>18</v>
      </c>
      <c r="E226" t="s">
        <v>12</v>
      </c>
      <c r="F226" s="20">
        <v>45323</v>
      </c>
    </row>
    <row r="227" spans="1:6" x14ac:dyDescent="0.25">
      <c r="A227">
        <v>761</v>
      </c>
      <c r="B227" t="s">
        <v>128</v>
      </c>
      <c r="C227" t="s">
        <v>116</v>
      </c>
      <c r="D227" t="s">
        <v>34</v>
      </c>
      <c r="E227" t="s">
        <v>9</v>
      </c>
      <c r="F227" s="20">
        <v>45224</v>
      </c>
    </row>
    <row r="228" spans="1:6" x14ac:dyDescent="0.25">
      <c r="A228">
        <v>761</v>
      </c>
      <c r="B228" t="s">
        <v>128</v>
      </c>
      <c r="C228" t="s">
        <v>116</v>
      </c>
      <c r="D228" t="s">
        <v>34</v>
      </c>
      <c r="E228" t="s">
        <v>10</v>
      </c>
      <c r="F228" s="20">
        <v>45226</v>
      </c>
    </row>
    <row r="229" spans="1:6" x14ac:dyDescent="0.25">
      <c r="A229">
        <v>761</v>
      </c>
      <c r="B229" t="s">
        <v>128</v>
      </c>
      <c r="C229" t="s">
        <v>116</v>
      </c>
      <c r="D229" t="s">
        <v>34</v>
      </c>
      <c r="E229" t="s">
        <v>195</v>
      </c>
      <c r="F229" s="20">
        <v>45232</v>
      </c>
    </row>
    <row r="230" spans="1:6" x14ac:dyDescent="0.25">
      <c r="A230">
        <v>761</v>
      </c>
      <c r="B230" t="s">
        <v>128</v>
      </c>
      <c r="C230" t="s">
        <v>116</v>
      </c>
      <c r="D230" t="s">
        <v>34</v>
      </c>
      <c r="E230" t="s">
        <v>11</v>
      </c>
      <c r="F230" s="20">
        <v>45247</v>
      </c>
    </row>
    <row r="231" spans="1:6" x14ac:dyDescent="0.25">
      <c r="A231">
        <v>761</v>
      </c>
      <c r="B231" t="s">
        <v>128</v>
      </c>
      <c r="C231" t="s">
        <v>116</v>
      </c>
      <c r="D231" t="s">
        <v>34</v>
      </c>
      <c r="E231" t="s">
        <v>12</v>
      </c>
      <c r="F231" s="20">
        <v>45275</v>
      </c>
    </row>
    <row r="232" spans="1:6" x14ac:dyDescent="0.25">
      <c r="A232">
        <v>650</v>
      </c>
      <c r="B232" t="s">
        <v>142</v>
      </c>
      <c r="C232" t="s">
        <v>112</v>
      </c>
      <c r="D232" t="s">
        <v>93</v>
      </c>
      <c r="E232" t="s">
        <v>9</v>
      </c>
      <c r="F232" s="20">
        <v>45257</v>
      </c>
    </row>
    <row r="233" spans="1:6" x14ac:dyDescent="0.25">
      <c r="A233">
        <v>650</v>
      </c>
      <c r="B233" t="s">
        <v>142</v>
      </c>
      <c r="C233" t="s">
        <v>112</v>
      </c>
      <c r="D233" t="s">
        <v>93</v>
      </c>
      <c r="E233" t="s">
        <v>10</v>
      </c>
      <c r="F233" s="20">
        <v>45259</v>
      </c>
    </row>
    <row r="234" spans="1:6" x14ac:dyDescent="0.25">
      <c r="A234">
        <v>650</v>
      </c>
      <c r="B234" t="s">
        <v>142</v>
      </c>
      <c r="C234" t="s">
        <v>112</v>
      </c>
      <c r="D234" t="s">
        <v>93</v>
      </c>
      <c r="E234" t="s">
        <v>195</v>
      </c>
      <c r="F234" s="20">
        <v>45260</v>
      </c>
    </row>
    <row r="235" spans="1:6" x14ac:dyDescent="0.25">
      <c r="A235">
        <v>650</v>
      </c>
      <c r="B235" t="s">
        <v>142</v>
      </c>
      <c r="C235" t="s">
        <v>112</v>
      </c>
      <c r="D235" t="s">
        <v>93</v>
      </c>
      <c r="E235" t="s">
        <v>11</v>
      </c>
      <c r="F235" s="20">
        <v>45275</v>
      </c>
    </row>
    <row r="236" spans="1:6" x14ac:dyDescent="0.25">
      <c r="A236">
        <v>650</v>
      </c>
      <c r="B236" t="s">
        <v>142</v>
      </c>
      <c r="C236" t="s">
        <v>112</v>
      </c>
      <c r="D236" t="s">
        <v>93</v>
      </c>
      <c r="E236" t="s">
        <v>12</v>
      </c>
      <c r="F236" s="20">
        <v>45275</v>
      </c>
    </row>
    <row r="237" spans="1:6" x14ac:dyDescent="0.25">
      <c r="A237">
        <v>261</v>
      </c>
      <c r="B237" t="s">
        <v>131</v>
      </c>
      <c r="C237" t="s">
        <v>112</v>
      </c>
      <c r="D237" t="s">
        <v>93</v>
      </c>
      <c r="E237" t="s">
        <v>9</v>
      </c>
      <c r="F237" s="20">
        <v>45264</v>
      </c>
    </row>
    <row r="238" spans="1:6" x14ac:dyDescent="0.25">
      <c r="A238">
        <v>261</v>
      </c>
      <c r="B238" t="s">
        <v>131</v>
      </c>
      <c r="C238" t="s">
        <v>112</v>
      </c>
      <c r="D238" t="s">
        <v>93</v>
      </c>
      <c r="E238" t="s">
        <v>10</v>
      </c>
      <c r="F238" s="20">
        <v>45265</v>
      </c>
    </row>
    <row r="239" spans="1:6" x14ac:dyDescent="0.25">
      <c r="A239">
        <v>261</v>
      </c>
      <c r="B239" t="s">
        <v>131</v>
      </c>
      <c r="C239" t="s">
        <v>112</v>
      </c>
      <c r="D239" t="s">
        <v>93</v>
      </c>
      <c r="E239" t="s">
        <v>195</v>
      </c>
      <c r="F239" s="20">
        <v>45271</v>
      </c>
    </row>
    <row r="240" spans="1:6" x14ac:dyDescent="0.25">
      <c r="A240">
        <v>261</v>
      </c>
      <c r="B240" t="s">
        <v>131</v>
      </c>
      <c r="C240" t="s">
        <v>112</v>
      </c>
      <c r="D240" t="s">
        <v>93</v>
      </c>
      <c r="E240" t="s">
        <v>11</v>
      </c>
      <c r="F240" s="20">
        <v>45282</v>
      </c>
    </row>
    <row r="241" spans="1:6" x14ac:dyDescent="0.25">
      <c r="A241">
        <v>261</v>
      </c>
      <c r="B241" t="s">
        <v>131</v>
      </c>
      <c r="C241" t="s">
        <v>112</v>
      </c>
      <c r="D241" t="s">
        <v>93</v>
      </c>
      <c r="E241" t="s">
        <v>12</v>
      </c>
      <c r="F241" s="20">
        <v>45322</v>
      </c>
    </row>
    <row r="242" spans="1:6" x14ac:dyDescent="0.25">
      <c r="A242">
        <v>681</v>
      </c>
      <c r="B242" t="s">
        <v>127</v>
      </c>
      <c r="C242" t="s">
        <v>178</v>
      </c>
      <c r="D242" t="s">
        <v>34</v>
      </c>
      <c r="E242" t="s">
        <v>9</v>
      </c>
      <c r="F242" s="20">
        <v>45258</v>
      </c>
    </row>
    <row r="243" spans="1:6" x14ac:dyDescent="0.25">
      <c r="A243">
        <v>681</v>
      </c>
      <c r="B243" t="s">
        <v>127</v>
      </c>
      <c r="C243" t="s">
        <v>178</v>
      </c>
      <c r="D243" t="s">
        <v>34</v>
      </c>
      <c r="E243" t="s">
        <v>10</v>
      </c>
      <c r="F243" s="20">
        <v>45264</v>
      </c>
    </row>
    <row r="244" spans="1:6" x14ac:dyDescent="0.25">
      <c r="A244">
        <v>681</v>
      </c>
      <c r="B244" t="s">
        <v>127</v>
      </c>
      <c r="C244" t="s">
        <v>178</v>
      </c>
      <c r="D244" t="s">
        <v>34</v>
      </c>
      <c r="E244" t="s">
        <v>195</v>
      </c>
      <c r="F244" s="20">
        <v>45265</v>
      </c>
    </row>
    <row r="245" spans="1:6" x14ac:dyDescent="0.25">
      <c r="A245">
        <v>681</v>
      </c>
      <c r="B245" t="s">
        <v>127</v>
      </c>
      <c r="C245" t="s">
        <v>178</v>
      </c>
      <c r="D245" t="s">
        <v>34</v>
      </c>
      <c r="E245" t="s">
        <v>11</v>
      </c>
      <c r="F245" s="20">
        <v>45283</v>
      </c>
    </row>
    <row r="246" spans="1:6" x14ac:dyDescent="0.25">
      <c r="A246">
        <v>681</v>
      </c>
      <c r="B246" t="s">
        <v>127</v>
      </c>
      <c r="C246" t="s">
        <v>178</v>
      </c>
      <c r="D246" t="s">
        <v>34</v>
      </c>
      <c r="E246" t="s">
        <v>12</v>
      </c>
      <c r="F246" s="20">
        <v>45322</v>
      </c>
    </row>
    <row r="247" spans="1:6" x14ac:dyDescent="0.25">
      <c r="A247">
        <v>589</v>
      </c>
      <c r="B247" t="s">
        <v>139</v>
      </c>
      <c r="C247" t="s">
        <v>110</v>
      </c>
      <c r="D247" t="s">
        <v>75</v>
      </c>
      <c r="E247" t="s">
        <v>9</v>
      </c>
      <c r="F247" s="20">
        <v>45246</v>
      </c>
    </row>
    <row r="248" spans="1:6" x14ac:dyDescent="0.25">
      <c r="A248">
        <v>589</v>
      </c>
      <c r="B248" t="s">
        <v>139</v>
      </c>
      <c r="C248" t="s">
        <v>110</v>
      </c>
      <c r="D248" t="s">
        <v>75</v>
      </c>
      <c r="E248" t="s">
        <v>10</v>
      </c>
      <c r="F248" s="20">
        <v>45252</v>
      </c>
    </row>
    <row r="249" spans="1:6" x14ac:dyDescent="0.25">
      <c r="A249">
        <v>589</v>
      </c>
      <c r="B249" t="s">
        <v>139</v>
      </c>
      <c r="C249" t="s">
        <v>110</v>
      </c>
      <c r="D249" t="s">
        <v>75</v>
      </c>
      <c r="E249" t="s">
        <v>195</v>
      </c>
      <c r="F249" s="20">
        <v>45253</v>
      </c>
    </row>
    <row r="250" spans="1:6" x14ac:dyDescent="0.25">
      <c r="A250">
        <v>589</v>
      </c>
      <c r="B250" t="s">
        <v>139</v>
      </c>
      <c r="C250" t="s">
        <v>110</v>
      </c>
      <c r="D250" t="s">
        <v>75</v>
      </c>
      <c r="E250" t="s">
        <v>11</v>
      </c>
      <c r="F250" s="20">
        <v>45258</v>
      </c>
    </row>
    <row r="251" spans="1:6" x14ac:dyDescent="0.25">
      <c r="A251">
        <v>589</v>
      </c>
      <c r="B251" t="s">
        <v>139</v>
      </c>
      <c r="C251" t="s">
        <v>110</v>
      </c>
      <c r="D251" t="s">
        <v>75</v>
      </c>
      <c r="E251" t="s">
        <v>12</v>
      </c>
      <c r="F251" s="20">
        <v>45289</v>
      </c>
    </row>
    <row r="252" spans="1:6" x14ac:dyDescent="0.25">
      <c r="A252">
        <v>535</v>
      </c>
      <c r="B252" t="s">
        <v>136</v>
      </c>
      <c r="C252" t="s">
        <v>111</v>
      </c>
      <c r="D252" t="s">
        <v>84</v>
      </c>
      <c r="E252" t="s">
        <v>9</v>
      </c>
      <c r="F252" s="20">
        <v>45194</v>
      </c>
    </row>
    <row r="253" spans="1:6" x14ac:dyDescent="0.25">
      <c r="A253">
        <v>535</v>
      </c>
      <c r="B253" t="s">
        <v>136</v>
      </c>
      <c r="C253" t="s">
        <v>111</v>
      </c>
      <c r="D253" t="s">
        <v>84</v>
      </c>
      <c r="E253" t="s">
        <v>10</v>
      </c>
      <c r="F253" s="20">
        <v>45196</v>
      </c>
    </row>
    <row r="254" spans="1:6" x14ac:dyDescent="0.25">
      <c r="A254">
        <v>535</v>
      </c>
      <c r="B254" t="s">
        <v>136</v>
      </c>
      <c r="C254" t="s">
        <v>111</v>
      </c>
      <c r="D254" t="s">
        <v>84</v>
      </c>
      <c r="E254" t="s">
        <v>195</v>
      </c>
      <c r="F254" s="20">
        <v>45198</v>
      </c>
    </row>
    <row r="255" spans="1:6" x14ac:dyDescent="0.25">
      <c r="A255">
        <v>535</v>
      </c>
      <c r="B255" t="s">
        <v>136</v>
      </c>
      <c r="C255" t="s">
        <v>111</v>
      </c>
      <c r="D255" t="s">
        <v>84</v>
      </c>
      <c r="E255" t="s">
        <v>11</v>
      </c>
      <c r="F255" s="20">
        <v>45210</v>
      </c>
    </row>
    <row r="256" spans="1:6" x14ac:dyDescent="0.25">
      <c r="A256">
        <v>535</v>
      </c>
      <c r="B256" t="s">
        <v>136</v>
      </c>
      <c r="C256" t="s">
        <v>111</v>
      </c>
      <c r="D256" t="s">
        <v>84</v>
      </c>
      <c r="E256" t="s">
        <v>12</v>
      </c>
      <c r="F256" s="20">
        <v>45260</v>
      </c>
    </row>
    <row r="257" spans="1:6" x14ac:dyDescent="0.25">
      <c r="A257">
        <v>710</v>
      </c>
      <c r="B257" t="s">
        <v>144</v>
      </c>
      <c r="C257" t="s">
        <v>109</v>
      </c>
      <c r="D257" t="s">
        <v>67</v>
      </c>
      <c r="E257" t="s">
        <v>9</v>
      </c>
      <c r="F257" s="20">
        <v>45256</v>
      </c>
    </row>
    <row r="258" spans="1:6" x14ac:dyDescent="0.25">
      <c r="A258">
        <v>710</v>
      </c>
      <c r="B258" t="s">
        <v>144</v>
      </c>
      <c r="C258" t="s">
        <v>109</v>
      </c>
      <c r="D258" t="s">
        <v>67</v>
      </c>
      <c r="E258" t="s">
        <v>10</v>
      </c>
      <c r="F258" s="20">
        <v>45232</v>
      </c>
    </row>
    <row r="259" spans="1:6" x14ac:dyDescent="0.25">
      <c r="A259">
        <v>710</v>
      </c>
      <c r="B259" t="s">
        <v>144</v>
      </c>
      <c r="C259" t="s">
        <v>109</v>
      </c>
      <c r="D259" t="s">
        <v>67</v>
      </c>
      <c r="E259" t="s">
        <v>195</v>
      </c>
      <c r="F259" s="20">
        <v>45233</v>
      </c>
    </row>
    <row r="260" spans="1:6" x14ac:dyDescent="0.25">
      <c r="A260">
        <v>710</v>
      </c>
      <c r="B260" t="s">
        <v>144</v>
      </c>
      <c r="C260" t="s">
        <v>109</v>
      </c>
      <c r="D260" t="s">
        <v>67</v>
      </c>
      <c r="E260" t="s">
        <v>11</v>
      </c>
      <c r="F260" s="20">
        <v>45239</v>
      </c>
    </row>
    <row r="261" spans="1:6" x14ac:dyDescent="0.25">
      <c r="A261">
        <v>710</v>
      </c>
      <c r="B261" t="s">
        <v>144</v>
      </c>
      <c r="C261" t="s">
        <v>109</v>
      </c>
      <c r="D261" t="s">
        <v>67</v>
      </c>
      <c r="E261" t="s">
        <v>12</v>
      </c>
      <c r="F261" s="20">
        <v>45260</v>
      </c>
    </row>
    <row r="262" spans="1:6" x14ac:dyDescent="0.25">
      <c r="A262">
        <v>638</v>
      </c>
      <c r="B262" t="s">
        <v>141</v>
      </c>
      <c r="C262" t="s">
        <v>112</v>
      </c>
      <c r="D262" t="s">
        <v>93</v>
      </c>
      <c r="E262" t="s">
        <v>9</v>
      </c>
      <c r="F262" s="20">
        <v>45264</v>
      </c>
    </row>
    <row r="263" spans="1:6" x14ac:dyDescent="0.25">
      <c r="A263">
        <v>638</v>
      </c>
      <c r="B263" t="s">
        <v>141</v>
      </c>
      <c r="C263" t="s">
        <v>112</v>
      </c>
      <c r="D263" t="s">
        <v>93</v>
      </c>
      <c r="E263" t="s">
        <v>10</v>
      </c>
      <c r="F263" s="20">
        <v>45265</v>
      </c>
    </row>
    <row r="264" spans="1:6" x14ac:dyDescent="0.25">
      <c r="A264">
        <v>638</v>
      </c>
      <c r="B264" t="s">
        <v>141</v>
      </c>
      <c r="C264" t="s">
        <v>112</v>
      </c>
      <c r="D264" t="s">
        <v>93</v>
      </c>
      <c r="E264" t="s">
        <v>195</v>
      </c>
      <c r="F264" s="20">
        <v>45271</v>
      </c>
    </row>
    <row r="265" spans="1:6" x14ac:dyDescent="0.25">
      <c r="A265">
        <v>638</v>
      </c>
      <c r="B265" t="s">
        <v>141</v>
      </c>
      <c r="C265" t="s">
        <v>112</v>
      </c>
      <c r="D265" t="s">
        <v>93</v>
      </c>
      <c r="E265" t="s">
        <v>11</v>
      </c>
      <c r="F265" s="20">
        <v>45282</v>
      </c>
    </row>
    <row r="266" spans="1:6" x14ac:dyDescent="0.25">
      <c r="A266">
        <v>638</v>
      </c>
      <c r="B266" t="s">
        <v>141</v>
      </c>
      <c r="C266" t="s">
        <v>112</v>
      </c>
      <c r="D266" t="s">
        <v>93</v>
      </c>
      <c r="E266" t="s">
        <v>12</v>
      </c>
      <c r="F266" s="20">
        <v>45322</v>
      </c>
    </row>
    <row r="267" spans="1:6" x14ac:dyDescent="0.25">
      <c r="A267">
        <v>599</v>
      </c>
      <c r="B267" t="s">
        <v>53</v>
      </c>
      <c r="C267" t="s">
        <v>117</v>
      </c>
      <c r="D267" t="s">
        <v>52</v>
      </c>
      <c r="E267" t="s">
        <v>9</v>
      </c>
      <c r="F267" s="36">
        <v>0</v>
      </c>
    </row>
    <row r="268" spans="1:6" x14ac:dyDescent="0.25">
      <c r="A268">
        <v>599</v>
      </c>
      <c r="B268" t="s">
        <v>53</v>
      </c>
      <c r="C268" t="s">
        <v>117</v>
      </c>
      <c r="D268" t="s">
        <v>52</v>
      </c>
      <c r="E268" t="s">
        <v>10</v>
      </c>
      <c r="F268" s="36">
        <v>0</v>
      </c>
    </row>
    <row r="269" spans="1:6" x14ac:dyDescent="0.25">
      <c r="A269">
        <v>599</v>
      </c>
      <c r="B269" t="s">
        <v>53</v>
      </c>
      <c r="C269" t="s">
        <v>117</v>
      </c>
      <c r="D269" t="s">
        <v>52</v>
      </c>
      <c r="E269" t="s">
        <v>195</v>
      </c>
      <c r="F269" s="36">
        <v>0</v>
      </c>
    </row>
    <row r="270" spans="1:6" x14ac:dyDescent="0.25">
      <c r="A270">
        <v>599</v>
      </c>
      <c r="B270" t="s">
        <v>53</v>
      </c>
      <c r="C270" t="s">
        <v>117</v>
      </c>
      <c r="D270" t="s">
        <v>52</v>
      </c>
      <c r="E270" t="s">
        <v>11</v>
      </c>
      <c r="F270" s="36">
        <v>0</v>
      </c>
    </row>
    <row r="271" spans="1:6" x14ac:dyDescent="0.25">
      <c r="A271">
        <v>599</v>
      </c>
      <c r="B271" t="s">
        <v>53</v>
      </c>
      <c r="C271" t="s">
        <v>117</v>
      </c>
      <c r="D271" t="s">
        <v>52</v>
      </c>
      <c r="E271" t="s">
        <v>12</v>
      </c>
      <c r="F271" s="36">
        <v>0</v>
      </c>
    </row>
    <row r="272" spans="1:6" x14ac:dyDescent="0.25">
      <c r="F272" s="20"/>
    </row>
    <row r="273" spans="6:6" x14ac:dyDescent="0.25">
      <c r="F273" s="20"/>
    </row>
    <row r="274" spans="6:6" x14ac:dyDescent="0.25">
      <c r="F274" s="20"/>
    </row>
    <row r="275" spans="6:6" x14ac:dyDescent="0.25">
      <c r="F275" s="20"/>
    </row>
    <row r="276" spans="6:6" x14ac:dyDescent="0.25">
      <c r="F27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2</vt:i4>
      </vt:variant>
    </vt:vector>
  </HeadingPairs>
  <TitlesOfParts>
    <vt:vector size="7" baseType="lpstr">
      <vt:lpstr>Formulario de Registro</vt:lpstr>
      <vt:lpstr>Seguimiento</vt:lpstr>
      <vt:lpstr>Formulador</vt:lpstr>
      <vt:lpstr>Base Inicial</vt:lpstr>
      <vt:lpstr>Base Salida</vt:lpstr>
      <vt:lpstr>formulador</vt:lpstr>
      <vt:lpstr>Sujeto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Gutierrez Cardozo</dc:creator>
  <cp:lastModifiedBy>Cristian Ferney  Martinez Lopez</cp:lastModifiedBy>
  <dcterms:created xsi:type="dcterms:W3CDTF">2023-10-04T20:29:25Z</dcterms:created>
  <dcterms:modified xsi:type="dcterms:W3CDTF">2023-10-18T13:10:31Z</dcterms:modified>
</cp:coreProperties>
</file>